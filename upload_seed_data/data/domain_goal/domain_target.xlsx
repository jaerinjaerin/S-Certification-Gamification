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" sheetId="1" r:id="rId4"/>
  </sheets>
</workbook>
</file>

<file path=xl/sharedStrings.xml><?xml version="1.0" encoding="utf-8"?>
<sst xmlns="http://schemas.openxmlformats.org/spreadsheetml/2006/main" uniqueCount="198">
  <si>
    <t>Country</t>
  </si>
  <si>
    <t>ID</t>
  </si>
  <si>
    <t>FSM(SES)</t>
  </si>
  <si>
    <t>FSM</t>
  </si>
  <si>
    <t>FF(SES)</t>
  </si>
  <si>
    <t>FF</t>
  </si>
  <si>
    <t>USA</t>
  </si>
  <si>
    <t>NAT_2840</t>
  </si>
  <si>
    <t>O</t>
  </si>
  <si>
    <t>Canada</t>
  </si>
  <si>
    <t>NAT_7000</t>
  </si>
  <si>
    <t>Albania</t>
  </si>
  <si>
    <t>NAT_2008</t>
  </si>
  <si>
    <t>Bosnia</t>
  </si>
  <si>
    <t>NAT_2070</t>
  </si>
  <si>
    <t>Croatia</t>
  </si>
  <si>
    <t>NAT_2191</t>
  </si>
  <si>
    <t>Macedonia</t>
  </si>
  <si>
    <t>NAT_2807</t>
  </si>
  <si>
    <t>Serbia</t>
  </si>
  <si>
    <t>NAT_2688</t>
  </si>
  <si>
    <t>Slovenia</t>
  </si>
  <si>
    <t>NAT_2705</t>
  </si>
  <si>
    <t>Austria</t>
  </si>
  <si>
    <t>NAT_2040</t>
  </si>
  <si>
    <t>-</t>
  </si>
  <si>
    <t>Switzerland</t>
  </si>
  <si>
    <t>NAT_2756</t>
  </si>
  <si>
    <t>Estonia</t>
  </si>
  <si>
    <t>NAT_2233</t>
  </si>
  <si>
    <t>Latvia</t>
  </si>
  <si>
    <t>NAT_2428</t>
  </si>
  <si>
    <t>Lithuania</t>
  </si>
  <si>
    <t>NAT_2440</t>
  </si>
  <si>
    <t>Netherland</t>
  </si>
  <si>
    <t>Belgium</t>
  </si>
  <si>
    <t>Luxembourg</t>
  </si>
  <si>
    <t>CzechRepublic</t>
  </si>
  <si>
    <t>NAT_2203</t>
  </si>
  <si>
    <t>Slovakia</t>
  </si>
  <si>
    <t>NAT_2703</t>
  </si>
  <si>
    <t>France</t>
  </si>
  <si>
    <t>NAT_2250</t>
  </si>
  <si>
    <t>Germany</t>
  </si>
  <si>
    <t>NAT_2276</t>
  </si>
  <si>
    <t>Greece</t>
  </si>
  <si>
    <t>NAT_2300</t>
  </si>
  <si>
    <t>Cyprus</t>
  </si>
  <si>
    <t>NAT_19602</t>
  </si>
  <si>
    <t>Hungary</t>
  </si>
  <si>
    <t>NAT_2348</t>
  </si>
  <si>
    <t>Italy</t>
  </si>
  <si>
    <t>NAT_2380</t>
  </si>
  <si>
    <t>Portugal</t>
  </si>
  <si>
    <t>NAT_2620</t>
  </si>
  <si>
    <t>Spain</t>
  </si>
  <si>
    <t>NAT_2724</t>
  </si>
  <si>
    <t>Sweden</t>
  </si>
  <si>
    <t>NAT_021501</t>
  </si>
  <si>
    <t>Finland</t>
  </si>
  <si>
    <t>NAT_021502</t>
  </si>
  <si>
    <t>Norway</t>
  </si>
  <si>
    <t>NAT_021503</t>
  </si>
  <si>
    <t>Denmark</t>
  </si>
  <si>
    <t>NAT_021504</t>
  </si>
  <si>
    <t>Poland</t>
  </si>
  <si>
    <t>NAT_2616</t>
  </si>
  <si>
    <t>Bulgaria</t>
  </si>
  <si>
    <t>NAT_2100</t>
  </si>
  <si>
    <t>Romania</t>
  </si>
  <si>
    <t>NAT_2642</t>
  </si>
  <si>
    <t>UnitedKingdom</t>
  </si>
  <si>
    <t>NAT_021505</t>
  </si>
  <si>
    <t>Korea</t>
  </si>
  <si>
    <t>NAT_2410</t>
  </si>
  <si>
    <t>Kazakhstan</t>
  </si>
  <si>
    <t>NAT_2398</t>
  </si>
  <si>
    <t>Kyrgyzstan</t>
  </si>
  <si>
    <t>NAT_41702</t>
  </si>
  <si>
    <t>Tajikistan</t>
  </si>
  <si>
    <t>NAT_76202</t>
  </si>
  <si>
    <t>Uzbekistan</t>
  </si>
  <si>
    <t>NAT_2860</t>
  </si>
  <si>
    <t>China</t>
  </si>
  <si>
    <t>NAT_2156</t>
  </si>
  <si>
    <t>V</t>
  </si>
  <si>
    <t>Hongkong</t>
  </si>
  <si>
    <t>NAT_2344</t>
  </si>
  <si>
    <t>Taiwan</t>
  </si>
  <si>
    <t>NAT_2158</t>
  </si>
  <si>
    <t>Vietnam</t>
  </si>
  <si>
    <t>NAT_2704</t>
  </si>
  <si>
    <t>Australia</t>
  </si>
  <si>
    <t>NAT_051001</t>
  </si>
  <si>
    <t>Indonesia</t>
  </si>
  <si>
    <t>NAT_2360</t>
  </si>
  <si>
    <t>NewZealand</t>
  </si>
  <si>
    <t>NAT_2554</t>
  </si>
  <si>
    <t>Philippines</t>
  </si>
  <si>
    <t>NAT_2608</t>
  </si>
  <si>
    <t>Singapore</t>
  </si>
  <si>
    <t>NAT_2702</t>
  </si>
  <si>
    <t>Malaysia</t>
  </si>
  <si>
    <t>NAT_2458</t>
  </si>
  <si>
    <t>Cambodia</t>
  </si>
  <si>
    <t>NAT_2116</t>
  </si>
  <si>
    <t>Laos</t>
  </si>
  <si>
    <t>NAT_2418</t>
  </si>
  <si>
    <t>Myanmar</t>
  </si>
  <si>
    <t>NAT_3004</t>
  </si>
  <si>
    <t>Thailand</t>
  </si>
  <si>
    <t>NAT_2764</t>
  </si>
  <si>
    <t>Bangladesh</t>
  </si>
  <si>
    <t>NAT_2050</t>
  </si>
  <si>
    <t>Nepal</t>
  </si>
  <si>
    <t>NAT_060401</t>
  </si>
  <si>
    <t>India</t>
  </si>
  <si>
    <t>NAT_2356</t>
  </si>
  <si>
    <t>SriLanka</t>
  </si>
  <si>
    <t>NAT_2144</t>
  </si>
  <si>
    <t>Israel</t>
  </si>
  <si>
    <t>NAT_37602</t>
  </si>
  <si>
    <t>Palestine</t>
  </si>
  <si>
    <t>NAT_2275</t>
  </si>
  <si>
    <t>Jordan</t>
  </si>
  <si>
    <t>NAT_2400</t>
  </si>
  <si>
    <t>Iraq</t>
  </si>
  <si>
    <t>NAT_2368</t>
  </si>
  <si>
    <t>Lebanon</t>
  </si>
  <si>
    <t>NAT_2422</t>
  </si>
  <si>
    <t>Algeria</t>
  </si>
  <si>
    <t>NAT_2012</t>
  </si>
  <si>
    <t>Morocco</t>
  </si>
  <si>
    <t>NAT_2504</t>
  </si>
  <si>
    <t>Tunisia</t>
  </si>
  <si>
    <t>NAT_2788</t>
  </si>
  <si>
    <t>SaudiArabia</t>
  </si>
  <si>
    <t>NAT_2682</t>
  </si>
  <si>
    <t>Turkey</t>
  </si>
  <si>
    <t>NAT_2792</t>
  </si>
  <si>
    <t>UAE</t>
  </si>
  <si>
    <t>NAT_2784</t>
  </si>
  <si>
    <t>Bahrain</t>
  </si>
  <si>
    <t>NAT_2048</t>
  </si>
  <si>
    <t>Kuwait</t>
  </si>
  <si>
    <t>NAT_2414</t>
  </si>
  <si>
    <t>Oman</t>
  </si>
  <si>
    <t>NAT_2512</t>
  </si>
  <si>
    <t>Qatar</t>
  </si>
  <si>
    <t>NAT_2634</t>
  </si>
  <si>
    <t>Colombia</t>
  </si>
  <si>
    <t>NAT_2170</t>
  </si>
  <si>
    <t>Argentina</t>
  </si>
  <si>
    <t>NAT_2707</t>
  </si>
  <si>
    <t>Bolivia</t>
  </si>
  <si>
    <t>NAT_2068</t>
  </si>
  <si>
    <t>Chile</t>
  </si>
  <si>
    <t>NAT_2152</t>
  </si>
  <si>
    <t>Brazil</t>
  </si>
  <si>
    <t>NAT_2076</t>
  </si>
  <si>
    <t>Trinidadandtobago</t>
  </si>
  <si>
    <t>NAT_2780</t>
  </si>
  <si>
    <t>PuertoRico</t>
  </si>
  <si>
    <t>NAT_2630</t>
  </si>
  <si>
    <t>Paraguay</t>
  </si>
  <si>
    <t>NAT_2600</t>
  </si>
  <si>
    <t>Uruguay</t>
  </si>
  <si>
    <t>NAT_2858</t>
  </si>
  <si>
    <t>Costa Rica</t>
  </si>
  <si>
    <t>NAT_2188</t>
  </si>
  <si>
    <t>Dominican Rep.</t>
  </si>
  <si>
    <t>NAT_2212</t>
  </si>
  <si>
    <t>Ecuador</t>
  </si>
  <si>
    <t>NAT_2218</t>
  </si>
  <si>
    <t>Guatemala</t>
  </si>
  <si>
    <t>NAT_2631</t>
  </si>
  <si>
    <t>Panama</t>
  </si>
  <si>
    <t>NAT_2591</t>
  </si>
  <si>
    <t>Mexico</t>
  </si>
  <si>
    <t>NAT_2484</t>
  </si>
  <si>
    <t>Peru</t>
  </si>
  <si>
    <t>NAT_2604</t>
  </si>
  <si>
    <t>Kenya</t>
  </si>
  <si>
    <t>NAT_2404</t>
  </si>
  <si>
    <t>Tanzaina</t>
  </si>
  <si>
    <t>NAT_2834</t>
  </si>
  <si>
    <t>Ghana</t>
  </si>
  <si>
    <t>NAT_2288</t>
  </si>
  <si>
    <t>Nigeria</t>
  </si>
  <si>
    <t>NAT_2566</t>
  </si>
  <si>
    <t>Senegal</t>
  </si>
  <si>
    <t>NAT_2686</t>
  </si>
  <si>
    <t>Mauritius</t>
  </si>
  <si>
    <t>NAT_3701</t>
  </si>
  <si>
    <t>SouthAfrica</t>
  </si>
  <si>
    <t>NAT_2710</t>
  </si>
  <si>
    <t>Japan</t>
  </si>
  <si>
    <r>
      <rPr>
        <sz val="12"/>
        <color indexed="24"/>
        <rFont val="Menlo Regular"/>
      </rPr>
      <t>NAT_2392</t>
    </r>
    <r>
      <rPr>
        <sz val="12"/>
        <color indexed="25"/>
        <rFont val="Menlo Regular"/>
      </rPr>
      <t xml:space="preserve">
</t>
    </r>
  </si>
</sst>
</file>

<file path=xl/styles.xml><?xml version="1.0" encoding="utf-8"?>
<styleSheet xmlns="http://schemas.openxmlformats.org/spreadsheetml/2006/main">
  <numFmts count="2">
    <numFmt numFmtId="0" formatCode="General"/>
    <numFmt numFmtId="59" formatCode="&quot; &quot;* #,##0&quot; &quot;;&quot;-&quot;* #,##0&quot; &quot;;&quot; &quot;* &quot;- &quot;"/>
  </numFmts>
  <fonts count="9">
    <font>
      <sz val="11"/>
      <color indexed="8"/>
      <name val="맑은 고딕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9"/>
      <name val="Pretendard"/>
    </font>
    <font>
      <b val="1"/>
      <sz val="11"/>
      <color indexed="8"/>
      <name val="맑은 고딕"/>
    </font>
    <font>
      <sz val="11"/>
      <color indexed="9"/>
      <name val="Pretendard"/>
    </font>
    <font>
      <sz val="11"/>
      <color indexed="9"/>
      <name val="Pretendard Regular"/>
    </font>
    <font>
      <sz val="12"/>
      <color indexed="24"/>
      <name val="Menlo Regular"/>
    </font>
    <font>
      <sz val="12"/>
      <color indexed="25"/>
      <name val="Menlo Regular"/>
    </font>
  </fonts>
  <fills count="12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</fills>
  <borders count="49">
    <border>
      <left/>
      <right/>
      <top/>
      <bottom/>
      <diagonal/>
    </border>
    <border>
      <left style="medium">
        <color indexed="11"/>
      </left>
      <right style="thin">
        <color indexed="8"/>
      </right>
      <top style="thin">
        <color indexed="12"/>
      </top>
      <bottom style="thin">
        <color indexed="13"/>
      </bottom>
      <diagonal/>
    </border>
    <border>
      <left style="thin">
        <color indexed="8"/>
      </left>
      <right style="thin">
        <color indexed="13"/>
      </right>
      <top style="thin">
        <color indexed="12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medium">
        <color indexed="11"/>
      </right>
      <top style="thin">
        <color indexed="13"/>
      </top>
      <bottom style="thin">
        <color indexed="13"/>
      </bottom>
      <diagonal/>
    </border>
    <border>
      <left style="medium">
        <color indexed="11"/>
      </left>
      <right style="medium">
        <color indexed="11"/>
      </right>
      <top style="thin">
        <color indexed="12"/>
      </top>
      <bottom style="thin">
        <color indexed="8"/>
      </bottom>
      <diagonal/>
    </border>
    <border>
      <left style="medium">
        <color indexed="11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medium">
        <color indexed="11"/>
      </bottom>
      <diagonal/>
    </border>
    <border>
      <left style="thin">
        <color indexed="8"/>
      </left>
      <right style="thin">
        <color indexed="13"/>
      </right>
      <top style="thin">
        <color indexed="13"/>
      </top>
      <bottom style="medium">
        <color indexed="11"/>
      </bottom>
      <diagonal/>
    </border>
    <border>
      <left style="thin">
        <color indexed="13"/>
      </left>
      <right style="thin">
        <color indexed="13"/>
      </right>
      <top style="thin">
        <color indexed="8"/>
      </top>
      <bottom style="thin">
        <color indexed="12"/>
      </bottom>
      <diagonal/>
    </border>
    <border>
      <left style="thin">
        <color indexed="13"/>
      </left>
      <right/>
      <top style="thin">
        <color indexed="12"/>
      </top>
      <bottom style="thin">
        <color indexed="12"/>
      </bottom>
      <diagonal/>
    </border>
    <border>
      <left/>
      <right/>
      <top/>
      <bottom/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8"/>
      </right>
      <top style="medium">
        <color indexed="11"/>
      </top>
      <bottom style="thin">
        <color indexed="13"/>
      </bottom>
      <diagonal/>
    </border>
    <border>
      <left style="thin">
        <color indexed="8"/>
      </left>
      <right style="thin">
        <color indexed="13"/>
      </right>
      <top style="medium">
        <color indexed="11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2"/>
      </top>
      <bottom/>
      <diagonal/>
    </border>
    <border>
      <left style="thin">
        <color indexed="13"/>
      </left>
      <right style="thin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8"/>
      </left>
      <right style="thin">
        <color indexed="18"/>
      </right>
      <top style="thin">
        <color indexed="13"/>
      </top>
      <bottom style="thin">
        <color indexed="13"/>
      </bottom>
      <diagonal/>
    </border>
    <border>
      <left style="thin">
        <color indexed="18"/>
      </left>
      <right style="thin">
        <color indexed="18"/>
      </right>
      <top style="thin">
        <color indexed="13"/>
      </top>
      <bottom style="thin">
        <color indexed="13"/>
      </bottom>
      <diagonal/>
    </border>
    <border>
      <left style="thin">
        <color indexed="1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/>
      <diagonal/>
    </border>
    <border>
      <left style="thin">
        <color indexed="13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 style="thin">
        <color indexed="18"/>
      </left>
      <right style="thin">
        <color indexed="18"/>
      </right>
      <top style="thin">
        <color indexed="13"/>
      </top>
      <bottom style="medium">
        <color indexed="11"/>
      </bottom>
      <diagonal/>
    </border>
    <border>
      <left style="thin">
        <color indexed="18"/>
      </left>
      <right style="thin">
        <color indexed="13"/>
      </right>
      <top style="thin">
        <color indexed="13"/>
      </top>
      <bottom style="medium">
        <color indexed="11"/>
      </bottom>
      <diagonal/>
    </border>
    <border>
      <left style="thin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11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2"/>
      </bottom>
      <diagonal/>
    </border>
    <border>
      <left style="thin">
        <color indexed="13"/>
      </left>
      <right style="thin">
        <color indexed="13"/>
      </right>
      <top style="thin">
        <color indexed="12"/>
      </top>
      <bottom style="thin">
        <color indexed="12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11"/>
      </bottom>
      <diagonal/>
    </border>
    <border>
      <left style="thin">
        <color indexed="13"/>
      </left>
      <right style="medium">
        <color indexed="11"/>
      </right>
      <top style="thin">
        <color indexed="13"/>
      </top>
      <bottom style="medium">
        <color indexed="11"/>
      </bottom>
      <diagonal/>
    </border>
    <border>
      <left style="medium">
        <color indexed="11"/>
      </left>
      <right style="medium">
        <color indexed="11"/>
      </right>
      <top/>
      <bottom/>
      <diagonal/>
    </border>
    <border>
      <left style="medium">
        <color indexed="11"/>
      </left>
      <right/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8"/>
      </right>
      <top style="medium">
        <color indexed="11"/>
      </top>
      <bottom style="medium">
        <color indexed="11"/>
      </bottom>
      <diagonal/>
    </border>
    <border>
      <left style="thin">
        <color indexed="8"/>
      </left>
      <right style="thin">
        <color indexed="18"/>
      </right>
      <top style="medium">
        <color indexed="11"/>
      </top>
      <bottom style="medium">
        <color indexed="11"/>
      </bottom>
      <diagonal/>
    </border>
    <border>
      <left style="thin">
        <color indexed="8"/>
      </left>
      <right style="thin">
        <color indexed="18"/>
      </right>
      <top style="medium">
        <color indexed="11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11"/>
      </top>
      <bottom style="medium">
        <color indexed="11"/>
      </bottom>
      <diagonal/>
    </border>
    <border>
      <left style="thin">
        <color indexed="8"/>
      </left>
      <right style="thin">
        <color indexed="13"/>
      </right>
      <top style="medium">
        <color indexed="11"/>
      </top>
      <bottom style="medium">
        <color indexed="11"/>
      </bottom>
      <diagonal/>
    </border>
    <border>
      <left style="medium">
        <color indexed="11"/>
      </left>
      <right style="thin">
        <color indexed="12"/>
      </right>
      <top style="medium">
        <color indexed="11"/>
      </top>
      <bottom style="thin">
        <color indexed="13"/>
      </bottom>
      <diagonal/>
    </border>
    <border>
      <left style="thin">
        <color indexed="12"/>
      </left>
      <right style="thin">
        <color indexed="12"/>
      </right>
      <top style="medium">
        <color indexed="11"/>
      </top>
      <bottom style="thin">
        <color indexed="13"/>
      </bottom>
      <diagonal/>
    </border>
    <border>
      <left style="thin">
        <color indexed="12"/>
      </left>
      <right style="thin">
        <color indexed="13"/>
      </right>
      <top style="medium">
        <color indexed="11"/>
      </top>
      <bottom style="thin">
        <color indexed="13"/>
      </bottom>
      <diagonal/>
    </border>
    <border>
      <left style="thin">
        <color indexed="12"/>
      </left>
      <right style="thin">
        <color indexed="8"/>
      </right>
      <top style="medium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medium">
        <color indexed="11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/>
      <bottom style="thin">
        <color indexed="8"/>
      </bottom>
      <diagonal/>
    </border>
    <border>
      <left style="medium">
        <color indexed="11"/>
      </left>
      <right style="thin">
        <color indexed="8"/>
      </right>
      <top style="thin">
        <color indexed="8"/>
      </top>
      <bottom style="medium">
        <color indexed="11"/>
      </bottom>
      <diagonal/>
    </border>
    <border>
      <left style="thin">
        <color indexed="8"/>
      </left>
      <right style="thin">
        <color indexed="13"/>
      </right>
      <top style="thin">
        <color indexed="8"/>
      </top>
      <bottom style="medium">
        <color indexed="11"/>
      </bottom>
      <diagonal/>
    </border>
    <border>
      <left/>
      <right/>
      <top/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vertical="center"/>
    </xf>
  </cellStyleXfs>
  <cellXfs count="76">
    <xf numFmtId="0" fontId="0" applyNumberFormat="0" applyFont="1" applyFill="0" applyBorder="0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horizontal="center" vertical="center"/>
    </xf>
    <xf numFmtId="49" fontId="3" fillId="2" borderId="2" applyNumberFormat="1" applyFont="1" applyFill="1" applyBorder="1" applyAlignment="1" applyProtection="0">
      <alignment horizontal="center" vertical="center"/>
    </xf>
    <xf numFmtId="49" fontId="3" fillId="2" borderId="3" applyNumberFormat="1" applyFont="1" applyFill="1" applyBorder="1" applyAlignment="1" applyProtection="0">
      <alignment horizontal="center" vertical="bottom" wrapText="1"/>
    </xf>
    <xf numFmtId="49" fontId="3" fillId="2" borderId="4" applyNumberFormat="1" applyFont="1" applyFill="1" applyBorder="1" applyAlignment="1" applyProtection="0">
      <alignment horizontal="center" vertical="bottom" wrapText="1"/>
    </xf>
    <xf numFmtId="0" fontId="4" fillId="3" borderId="5" applyNumberFormat="0" applyFont="1" applyFill="1" applyBorder="1" applyAlignment="1" applyProtection="0">
      <alignment vertical="center"/>
    </xf>
    <xf numFmtId="0" fontId="0" fillId="4" borderId="6" applyNumberFormat="0" applyFont="1" applyFill="1" applyBorder="1" applyAlignment="1" applyProtection="0">
      <alignment vertical="center"/>
    </xf>
    <xf numFmtId="0" fontId="0" fillId="3" borderId="7" applyNumberFormat="0" applyFont="1" applyFill="1" applyBorder="1" applyAlignment="1" applyProtection="0">
      <alignment vertical="center"/>
    </xf>
    <xf numFmtId="0" fontId="0" fillId="3" borderId="8" applyNumberFormat="0" applyFont="1" applyFill="1" applyBorder="1" applyAlignment="1" applyProtection="0">
      <alignment vertical="center"/>
    </xf>
    <xf numFmtId="49" fontId="5" fillId="3" borderId="9" applyNumberFormat="1" applyFont="1" applyFill="1" applyBorder="1" applyAlignment="1" applyProtection="0">
      <alignment horizontal="left" vertical="bottom"/>
    </xf>
    <xf numFmtId="49" fontId="5" fillId="3" borderId="10" applyNumberFormat="1" applyFont="1" applyFill="1" applyBorder="1" applyAlignment="1" applyProtection="0">
      <alignment horizontal="left" vertical="bottom"/>
    </xf>
    <xf numFmtId="59" fontId="5" fillId="3" borderId="3" applyNumberFormat="1" applyFont="1" applyFill="1" applyBorder="1" applyAlignment="1" applyProtection="0">
      <alignment horizontal="right" vertical="bottom" wrapText="1"/>
    </xf>
    <xf numFmtId="0" fontId="0" fillId="3" borderId="11" applyNumberFormat="0" applyFont="1" applyFill="1" applyBorder="1" applyAlignment="1" applyProtection="0">
      <alignment vertical="center"/>
    </xf>
    <xf numFmtId="59" fontId="0" fillId="4" borderId="12" applyNumberFormat="1" applyFont="1" applyFill="1" applyBorder="1" applyAlignment="1" applyProtection="0">
      <alignment vertical="center"/>
    </xf>
    <xf numFmtId="0" fontId="0" fillId="5" borderId="13" applyNumberFormat="0" applyFont="1" applyFill="1" applyBorder="1" applyAlignment="1" applyProtection="0">
      <alignment vertical="center"/>
    </xf>
    <xf numFmtId="49" fontId="0" fillId="3" borderId="14" applyNumberFormat="1" applyFont="1" applyFill="1" applyBorder="1" applyAlignment="1" applyProtection="0">
      <alignment vertical="center"/>
    </xf>
    <xf numFmtId="49" fontId="5" fillId="3" borderId="15" applyNumberFormat="1" applyFont="1" applyFill="1" applyBorder="1" applyAlignment="1" applyProtection="0">
      <alignment horizontal="left" vertical="bottom"/>
    </xf>
    <xf numFmtId="49" fontId="5" fillId="3" borderId="16" applyNumberFormat="1" applyFont="1" applyFill="1" applyBorder="1" applyAlignment="1" applyProtection="0">
      <alignment horizontal="left" vertical="bottom"/>
    </xf>
    <xf numFmtId="0" fontId="0" fillId="3" borderId="17" applyNumberFormat="0" applyFont="1" applyFill="1" applyBorder="1" applyAlignment="1" applyProtection="0">
      <alignment vertical="center"/>
    </xf>
    <xf numFmtId="49" fontId="5" fillId="6" borderId="18" applyNumberFormat="1" applyFont="1" applyFill="1" applyBorder="1" applyAlignment="1" applyProtection="0">
      <alignment horizontal="left" vertical="bottom"/>
    </xf>
    <xf numFmtId="49" fontId="5" fillId="6" borderId="19" applyNumberFormat="1" applyFont="1" applyFill="1" applyBorder="1" applyAlignment="1" applyProtection="0">
      <alignment horizontal="left" vertical="bottom"/>
    </xf>
    <xf numFmtId="59" fontId="6" fillId="3" borderId="20" applyNumberFormat="1" applyFont="1" applyFill="1" applyBorder="1" applyAlignment="1" applyProtection="0">
      <alignment horizontal="right" vertical="bottom"/>
    </xf>
    <xf numFmtId="59" fontId="6" fillId="3" borderId="21" applyNumberFormat="1" applyFont="1" applyFill="1" applyBorder="1" applyAlignment="1" applyProtection="0">
      <alignment horizontal="right" vertical="bottom"/>
    </xf>
    <xf numFmtId="0" fontId="0" fillId="3" borderId="22" applyNumberFormat="0" applyFont="1" applyFill="1" applyBorder="1" applyAlignment="1" applyProtection="0">
      <alignment vertical="center"/>
    </xf>
    <xf numFmtId="59" fontId="0" fillId="4" borderId="23" applyNumberFormat="1" applyFont="1" applyFill="1" applyBorder="1" applyAlignment="1" applyProtection="0">
      <alignment vertical="center"/>
    </xf>
    <xf numFmtId="0" fontId="0" fillId="3" borderId="24" applyNumberFormat="0" applyFont="1" applyFill="1" applyBorder="1" applyAlignment="1" applyProtection="0">
      <alignment vertical="center"/>
    </xf>
    <xf numFmtId="49" fontId="0" fillId="3" borderId="8" applyNumberFormat="1" applyFont="1" applyFill="1" applyBorder="1" applyAlignment="1" applyProtection="0">
      <alignment vertical="center"/>
    </xf>
    <xf numFmtId="59" fontId="6" fillId="3" borderId="25" applyNumberFormat="1" applyFont="1" applyFill="1" applyBorder="1" applyAlignment="1" applyProtection="0">
      <alignment horizontal="right" vertical="bottom"/>
    </xf>
    <xf numFmtId="59" fontId="6" fillId="3" borderId="26" applyNumberFormat="1" applyFont="1" applyFill="1" applyBorder="1" applyAlignment="1" applyProtection="0">
      <alignment horizontal="right" vertical="bottom"/>
    </xf>
    <xf numFmtId="49" fontId="5" fillId="6" borderId="27" applyNumberFormat="1" applyFont="1" applyFill="1" applyBorder="1" applyAlignment="1" applyProtection="0">
      <alignment horizontal="left" vertical="bottom"/>
    </xf>
    <xf numFmtId="59" fontId="6" fillId="3" borderId="28" applyNumberFormat="1" applyFont="1" applyFill="1" applyBorder="1" applyAlignment="1" applyProtection="0">
      <alignment horizontal="right" vertical="bottom" wrapText="1"/>
    </xf>
    <xf numFmtId="0" fontId="0" fillId="3" borderId="29" applyNumberFormat="0" applyFont="1" applyFill="1" applyBorder="1" applyAlignment="1" applyProtection="0">
      <alignment vertical="center"/>
    </xf>
    <xf numFmtId="49" fontId="0" fillId="7" borderId="8" applyNumberFormat="1" applyFont="1" applyFill="1" applyBorder="1" applyAlignment="1" applyProtection="0">
      <alignment vertical="center"/>
    </xf>
    <xf numFmtId="59" fontId="6" fillId="3" borderId="3" applyNumberFormat="1" applyFont="1" applyFill="1" applyBorder="1" applyAlignment="1" applyProtection="0">
      <alignment horizontal="right" vertical="bottom" wrapText="1"/>
    </xf>
    <xf numFmtId="49" fontId="5" fillId="3" borderId="18" applyNumberFormat="1" applyFont="1" applyFill="1" applyBorder="1" applyAlignment="1" applyProtection="0">
      <alignment horizontal="left" vertical="bottom"/>
    </xf>
    <xf numFmtId="49" fontId="5" fillId="3" borderId="19" applyNumberFormat="1" applyFont="1" applyFill="1" applyBorder="1" applyAlignment="1" applyProtection="0">
      <alignment horizontal="left" vertical="bottom"/>
    </xf>
    <xf numFmtId="49" fontId="5" fillId="8" borderId="18" applyNumberFormat="1" applyFont="1" applyFill="1" applyBorder="1" applyAlignment="1" applyProtection="0">
      <alignment horizontal="left" vertical="bottom"/>
    </xf>
    <xf numFmtId="0" fontId="5" fillId="8" borderId="19" applyNumberFormat="0" applyFont="1" applyFill="1" applyBorder="1" applyAlignment="1" applyProtection="0">
      <alignment horizontal="left" vertical="bottom"/>
    </xf>
    <xf numFmtId="59" fontId="6" fillId="8" borderId="20" applyNumberFormat="1" applyFont="1" applyFill="1" applyBorder="1" applyAlignment="1" applyProtection="0">
      <alignment horizontal="right" vertical="bottom"/>
    </xf>
    <xf numFmtId="59" fontId="6" fillId="8" borderId="21" applyNumberFormat="1" applyFont="1" applyFill="1" applyBorder="1" applyAlignment="1" applyProtection="0">
      <alignment horizontal="right" vertical="bottom"/>
    </xf>
    <xf numFmtId="0" fontId="0" fillId="8" borderId="13" applyNumberFormat="0" applyFont="1" applyFill="1" applyBorder="1" applyAlignment="1" applyProtection="0">
      <alignment vertical="center"/>
    </xf>
    <xf numFmtId="0" fontId="0" fillId="8" borderId="14" applyNumberFormat="0" applyFont="1" applyFill="1" applyBorder="1" applyAlignment="1" applyProtection="0">
      <alignment vertical="center"/>
    </xf>
    <xf numFmtId="49" fontId="5" fillId="3" borderId="27" applyNumberFormat="1" applyFont="1" applyFill="1" applyBorder="1" applyAlignment="1" applyProtection="0">
      <alignment horizontal="left" vertical="bottom"/>
    </xf>
    <xf numFmtId="0" fontId="0" fillId="3" borderId="30" applyNumberFormat="0" applyFont="1" applyFill="1" applyBorder="1" applyAlignment="1" applyProtection="0">
      <alignment vertical="center"/>
    </xf>
    <xf numFmtId="59" fontId="5" fillId="9" borderId="3" applyNumberFormat="1" applyFont="1" applyFill="1" applyBorder="1" applyAlignment="1" applyProtection="0">
      <alignment horizontal="right" vertical="bottom" wrapText="1"/>
    </xf>
    <xf numFmtId="59" fontId="5" fillId="3" borderId="21" applyNumberFormat="1" applyFont="1" applyFill="1" applyBorder="1" applyAlignment="1" applyProtection="0">
      <alignment horizontal="right" vertical="bottom" wrapText="1"/>
    </xf>
    <xf numFmtId="59" fontId="5" fillId="10" borderId="31" applyNumberFormat="1" applyFont="1" applyFill="1" applyBorder="1" applyAlignment="1" applyProtection="0">
      <alignment horizontal="right" vertical="bottom" wrapText="1"/>
    </xf>
    <xf numFmtId="59" fontId="5" fillId="10" borderId="32" applyNumberFormat="1" applyFont="1" applyFill="1" applyBorder="1" applyAlignment="1" applyProtection="0">
      <alignment horizontal="right" vertical="bottom" wrapText="1"/>
    </xf>
    <xf numFmtId="0" fontId="0" fillId="3" borderId="33" applyNumberFormat="0" applyFont="1" applyFill="1" applyBorder="1" applyAlignment="1" applyProtection="0">
      <alignment vertical="center"/>
    </xf>
    <xf numFmtId="0" fontId="0" fillId="4" borderId="34" applyNumberFormat="1" applyFont="1" applyFill="1" applyBorder="1" applyAlignment="1" applyProtection="0">
      <alignment vertical="center"/>
    </xf>
    <xf numFmtId="49" fontId="0" fillId="11" borderId="14" applyNumberFormat="1" applyFont="1" applyFill="1" applyBorder="1" applyAlignment="1" applyProtection="0">
      <alignment vertical="center"/>
    </xf>
    <xf numFmtId="59" fontId="5" fillId="3" borderId="28" applyNumberFormat="1" applyFont="1" applyFill="1" applyBorder="1" applyAlignment="1" applyProtection="0">
      <alignment horizontal="right" vertical="bottom" wrapText="1"/>
    </xf>
    <xf numFmtId="49" fontId="5" fillId="3" borderId="35" applyNumberFormat="1" applyFont="1" applyFill="1" applyBorder="1" applyAlignment="1" applyProtection="0">
      <alignment horizontal="left" vertical="bottom"/>
    </xf>
    <xf numFmtId="49" fontId="5" fillId="3" borderId="36" applyNumberFormat="1" applyFont="1" applyFill="1" applyBorder="1" applyAlignment="1" applyProtection="0">
      <alignment horizontal="left" vertical="bottom"/>
    </xf>
    <xf numFmtId="49" fontId="5" fillId="3" borderId="37" applyNumberFormat="1" applyFont="1" applyFill="1" applyBorder="1" applyAlignment="1" applyProtection="0">
      <alignment horizontal="left" vertical="bottom"/>
    </xf>
    <xf numFmtId="49" fontId="0" fillId="11" borderId="8" applyNumberFormat="1" applyFont="1" applyFill="1" applyBorder="1" applyAlignment="1" applyProtection="0">
      <alignment vertical="center"/>
    </xf>
    <xf numFmtId="59" fontId="5" fillId="9" borderId="31" applyNumberFormat="1" applyFont="1" applyFill="1" applyBorder="1" applyAlignment="1" applyProtection="0">
      <alignment horizontal="right" vertical="bottom" wrapText="1"/>
    </xf>
    <xf numFmtId="59" fontId="5" fillId="9" borderId="28" applyNumberFormat="1" applyFont="1" applyFill="1" applyBorder="1" applyAlignment="1" applyProtection="0">
      <alignment horizontal="right" vertical="bottom" wrapText="1"/>
    </xf>
    <xf numFmtId="59" fontId="5" fillId="9" borderId="38" applyNumberFormat="1" applyFont="1" applyFill="1" applyBorder="1" applyAlignment="1" applyProtection="0">
      <alignment horizontal="right" vertical="bottom" wrapText="1"/>
    </xf>
    <xf numFmtId="49" fontId="0" fillId="3" borderId="18" applyNumberFormat="1" applyFont="1" applyFill="1" applyBorder="1" applyAlignment="1" applyProtection="0">
      <alignment horizontal="left" vertical="bottom"/>
    </xf>
    <xf numFmtId="49" fontId="5" fillId="6" borderId="9" applyNumberFormat="1" applyFont="1" applyFill="1" applyBorder="1" applyAlignment="1" applyProtection="0">
      <alignment horizontal="left" vertical="bottom"/>
    </xf>
    <xf numFmtId="49" fontId="5" fillId="6" borderId="10" applyNumberFormat="1" applyFont="1" applyFill="1" applyBorder="1" applyAlignment="1" applyProtection="0">
      <alignment horizontal="left" vertical="bottom"/>
    </xf>
    <xf numFmtId="49" fontId="5" fillId="3" borderId="39" applyNumberFormat="1" applyFont="1" applyFill="1" applyBorder="1" applyAlignment="1" applyProtection="0">
      <alignment horizontal="left" vertical="bottom"/>
    </xf>
    <xf numFmtId="59" fontId="5" fillId="3" borderId="4" applyNumberFormat="1" applyFont="1" applyFill="1" applyBorder="1" applyAlignment="1" applyProtection="0">
      <alignment horizontal="right" vertical="bottom" wrapText="1"/>
    </xf>
    <xf numFmtId="0" fontId="0" fillId="3" borderId="40" applyNumberFormat="0" applyFont="1" applyFill="1" applyBorder="1" applyAlignment="1" applyProtection="0">
      <alignment vertical="center"/>
    </xf>
    <xf numFmtId="0" fontId="0" fillId="3" borderId="41" applyNumberFormat="0" applyFont="1" applyFill="1" applyBorder="1" applyAlignment="1" applyProtection="0">
      <alignment vertical="center"/>
    </xf>
    <xf numFmtId="0" fontId="0" fillId="3" borderId="42" applyNumberFormat="0" applyFont="1" applyFill="1" applyBorder="1" applyAlignment="1" applyProtection="0">
      <alignment vertical="center"/>
    </xf>
    <xf numFmtId="49" fontId="5" fillId="3" borderId="43" applyNumberFormat="1" applyFont="1" applyFill="1" applyBorder="1" applyAlignment="1" applyProtection="0">
      <alignment horizontal="left" vertical="bottom"/>
    </xf>
    <xf numFmtId="49" fontId="5" fillId="3" borderId="44" applyNumberFormat="1" applyFont="1" applyFill="1" applyBorder="1" applyAlignment="1" applyProtection="0">
      <alignment horizontal="left" vertical="bottom"/>
    </xf>
    <xf numFmtId="59" fontId="5" fillId="3" borderId="31" applyNumberFormat="1" applyFont="1" applyFill="1" applyBorder="1" applyAlignment="1" applyProtection="0">
      <alignment horizontal="right" vertical="bottom" wrapText="1"/>
    </xf>
    <xf numFmtId="0" fontId="0" fillId="3" borderId="45" applyNumberFormat="0" applyFont="1" applyFill="1" applyBorder="1" applyAlignment="1" applyProtection="0">
      <alignment vertical="center"/>
    </xf>
    <xf numFmtId="49" fontId="5" fillId="3" borderId="46" applyNumberFormat="1" applyFont="1" applyFill="1" applyBorder="1" applyAlignment="1" applyProtection="0">
      <alignment horizontal="left" vertical="bottom"/>
    </xf>
    <xf numFmtId="49" fontId="5" fillId="3" borderId="47" applyNumberFormat="1" applyFont="1" applyFill="1" applyBorder="1" applyAlignment="1" applyProtection="0">
      <alignment horizontal="left" vertical="bottom" wrapText="1"/>
    </xf>
    <xf numFmtId="59" fontId="5" fillId="3" borderId="38" applyNumberFormat="1" applyFont="1" applyFill="1" applyBorder="1" applyAlignment="1" applyProtection="0">
      <alignment horizontal="right" vertical="bottom" wrapText="1"/>
    </xf>
    <xf numFmtId="0" fontId="0" fillId="5" borderId="48" applyNumberFormat="0" applyFont="1" applyFill="1" applyBorder="1" applyAlignment="1" applyProtection="0">
      <alignment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444444"/>
      <rgbColor rgb="fff0f2f5"/>
      <rgbColor rgb="ffdadada"/>
      <rgbColor rgb="ffaaaaaa"/>
      <rgbColor rgb="ffc6c6c6"/>
      <rgbColor rgb="ffffffff"/>
      <rgbColor rgb="ffb7d6a3"/>
      <rgbColor rgb="ffffc000"/>
      <rgbColor rgb="fff9fafb"/>
      <rgbColor rgb="ffbfbfbf"/>
      <rgbColor rgb="ffa1b8e1"/>
      <rgbColor rgb="ffd2d2d2"/>
      <rgbColor rgb="fff9fef8"/>
      <rgbColor rgb="ffe2eeda"/>
      <rgbColor rgb="ff84b4df"/>
      <rgbColor rgb="ff9ecbff"/>
      <rgbColor rgb="ffe1e4e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 테마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테마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테마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K97"/>
  <sheetViews>
    <sheetView workbookViewId="0" showGridLines="0" defaultGridColor="1"/>
  </sheetViews>
  <sheetFormatPr defaultColWidth="8.83333" defaultRowHeight="17" customHeight="1" outlineLevelRow="0" outlineLevelCol="0"/>
  <cols>
    <col min="1" max="2" width="20.8516" style="1" customWidth="1"/>
    <col min="3" max="3" width="9.17188" style="1" customWidth="1"/>
    <col min="4" max="4" width="11.6719" style="1" customWidth="1"/>
    <col min="5" max="6" width="9.17188" style="1" customWidth="1"/>
    <col min="7" max="7" hidden="1" width="8.83333" style="1" customWidth="1"/>
    <col min="8" max="11" width="8.85156" style="1" customWidth="1"/>
    <col min="12" max="16384" width="8.85156" style="1" customWidth="1"/>
  </cols>
  <sheetData>
    <row r="1" ht="29" customHeight="1">
      <c r="A1" t="s" s="2">
        <v>0</v>
      </c>
      <c r="B1" t="s" s="3">
        <v>1</v>
      </c>
      <c r="C1" t="s" s="4">
        <v>2</v>
      </c>
      <c r="D1" t="s" s="4">
        <v>3</v>
      </c>
      <c r="E1" t="s" s="4">
        <v>4</v>
      </c>
      <c r="F1" t="s" s="5">
        <v>5</v>
      </c>
      <c r="G1" s="6"/>
      <c r="H1" s="7"/>
      <c r="I1" s="8"/>
      <c r="J1" s="9"/>
      <c r="K1" s="9"/>
    </row>
    <row r="2" ht="18" customHeight="1">
      <c r="A2" t="s" s="10">
        <v>6</v>
      </c>
      <c r="B2" t="s" s="11">
        <v>7</v>
      </c>
      <c r="C2" s="12"/>
      <c r="D2" s="12">
        <v>42000</v>
      </c>
      <c r="E2" s="12"/>
      <c r="F2" s="12">
        <v>362</v>
      </c>
      <c r="G2" s="13"/>
      <c r="H2" s="14">
        <f>SUM(C2:F2)</f>
        <v>42362</v>
      </c>
      <c r="I2" s="15"/>
      <c r="J2" t="s" s="16">
        <v>8</v>
      </c>
      <c r="K2" s="9"/>
    </row>
    <row r="3" ht="18" customHeight="1">
      <c r="A3" t="s" s="17">
        <v>9</v>
      </c>
      <c r="B3" t="s" s="18">
        <v>10</v>
      </c>
      <c r="C3" s="12">
        <v>111</v>
      </c>
      <c r="D3" s="12">
        <v>4127</v>
      </c>
      <c r="E3" s="12"/>
      <c r="F3" s="12">
        <v>43</v>
      </c>
      <c r="G3" s="19"/>
      <c r="H3" s="14">
        <f>SUM(C3:F3)</f>
        <v>4281</v>
      </c>
      <c r="I3" s="15"/>
      <c r="J3" t="s" s="16">
        <v>8</v>
      </c>
      <c r="K3" s="9"/>
    </row>
    <row r="4" ht="18" customHeight="1">
      <c r="A4" t="s" s="20">
        <v>11</v>
      </c>
      <c r="B4" t="s" s="21">
        <v>12</v>
      </c>
      <c r="C4" s="22">
        <v>1.54545454545455</v>
      </c>
      <c r="D4" s="22">
        <v>303.939393939394</v>
      </c>
      <c r="E4" s="22">
        <v>1.2020202020202</v>
      </c>
      <c r="F4" s="23">
        <v>13.3939393939394</v>
      </c>
      <c r="G4" s="24"/>
      <c r="H4" s="25">
        <f>SUM(C4:F4)</f>
        <v>320.080808080808</v>
      </c>
      <c r="I4" s="26"/>
      <c r="J4" t="s" s="27">
        <v>8</v>
      </c>
      <c r="K4" s="9"/>
    </row>
    <row r="5" ht="18" customHeight="1">
      <c r="A5" t="s" s="20">
        <v>13</v>
      </c>
      <c r="B5" t="s" s="21">
        <v>14</v>
      </c>
      <c r="C5" s="22">
        <v>1</v>
      </c>
      <c r="D5" s="22">
        <v>196.666666666667</v>
      </c>
      <c r="E5" s="22">
        <v>0.777777777777778</v>
      </c>
      <c r="F5" s="23">
        <v>8.66666666666667</v>
      </c>
      <c r="G5" s="24"/>
      <c r="H5" s="25">
        <f>SUM(C5:F5)</f>
        <v>207.111111111111</v>
      </c>
      <c r="I5" s="9"/>
      <c r="J5" t="s" s="27">
        <v>8</v>
      </c>
      <c r="K5" s="9"/>
    </row>
    <row r="6" ht="18" customHeight="1">
      <c r="A6" t="s" s="20">
        <v>15</v>
      </c>
      <c r="B6" t="s" s="21">
        <v>16</v>
      </c>
      <c r="C6" s="22">
        <v>1.63636363636364</v>
      </c>
      <c r="D6" s="22">
        <v>321.818181818182</v>
      </c>
      <c r="E6" s="22">
        <v>1.27272727272727</v>
      </c>
      <c r="F6" s="23">
        <v>14.1818181818182</v>
      </c>
      <c r="G6" s="24"/>
      <c r="H6" s="25">
        <f>SUM(C6:F6)</f>
        <v>338.909090909091</v>
      </c>
      <c r="I6" s="9"/>
      <c r="J6" t="s" s="27">
        <v>8</v>
      </c>
      <c r="K6" s="9"/>
    </row>
    <row r="7" ht="18" customHeight="1">
      <c r="A7" t="s" s="20">
        <v>17</v>
      </c>
      <c r="B7" t="s" s="21">
        <v>18</v>
      </c>
      <c r="C7" s="22">
        <v>0.545454545454545</v>
      </c>
      <c r="D7" s="22">
        <v>107.272727272727</v>
      </c>
      <c r="E7" s="22">
        <v>0.424242424242424</v>
      </c>
      <c r="F7" s="23">
        <v>4.72727272727273</v>
      </c>
      <c r="G7" s="24"/>
      <c r="H7" s="25">
        <f>SUM(C7:F7)</f>
        <v>112.969696969697</v>
      </c>
      <c r="I7" s="9"/>
      <c r="J7" t="s" s="27">
        <v>8</v>
      </c>
      <c r="K7" s="9"/>
    </row>
    <row r="8" ht="18" customHeight="1">
      <c r="A8" t="s" s="20">
        <v>19</v>
      </c>
      <c r="B8" t="s" s="21">
        <v>20</v>
      </c>
      <c r="C8" s="22">
        <v>2.54545454545455</v>
      </c>
      <c r="D8" s="22">
        <v>500.606060606061</v>
      </c>
      <c r="E8" s="22">
        <v>1.97979797979798</v>
      </c>
      <c r="F8" s="23">
        <v>22.0606060606061</v>
      </c>
      <c r="G8" s="24"/>
      <c r="H8" s="25">
        <f>SUM(C8:F8)</f>
        <v>527.191919191920</v>
      </c>
      <c r="I8" s="9"/>
      <c r="J8" t="s" s="27">
        <v>8</v>
      </c>
      <c r="K8" s="9"/>
    </row>
    <row r="9" ht="18" customHeight="1">
      <c r="A9" t="s" s="20">
        <v>21</v>
      </c>
      <c r="B9" t="s" s="21">
        <v>22</v>
      </c>
      <c r="C9" s="28">
        <v>1.72727272727273</v>
      </c>
      <c r="D9" s="28">
        <v>339.696969696970</v>
      </c>
      <c r="E9" s="28">
        <v>1.34343434343434</v>
      </c>
      <c r="F9" s="29">
        <v>14.969696969697</v>
      </c>
      <c r="G9" s="24"/>
      <c r="H9" s="25">
        <f>SUM(C9:F9)</f>
        <v>357.737373737374</v>
      </c>
      <c r="I9" s="9"/>
      <c r="J9" t="s" s="27">
        <v>8</v>
      </c>
      <c r="K9" s="9"/>
    </row>
    <row r="10" ht="18" customHeight="1">
      <c r="A10" t="s" s="20">
        <v>23</v>
      </c>
      <c r="B10" t="s" s="30">
        <v>24</v>
      </c>
      <c r="C10" s="31">
        <v>0</v>
      </c>
      <c r="D10" s="31">
        <v>279</v>
      </c>
      <c r="E10" s="31">
        <v>0</v>
      </c>
      <c r="F10" s="31">
        <v>48</v>
      </c>
      <c r="G10" s="32"/>
      <c r="H10" s="25">
        <f>SUM(C10:F10)</f>
        <v>327</v>
      </c>
      <c r="I10" s="9"/>
      <c r="J10" t="s" s="33">
        <v>25</v>
      </c>
      <c r="K10" s="9"/>
    </row>
    <row r="11" ht="18" customHeight="1">
      <c r="A11" t="s" s="20">
        <v>26</v>
      </c>
      <c r="B11" t="s" s="30">
        <v>27</v>
      </c>
      <c r="C11" s="34">
        <v>0</v>
      </c>
      <c r="D11" s="34">
        <v>220</v>
      </c>
      <c r="E11" s="34">
        <v>0</v>
      </c>
      <c r="F11" s="34">
        <v>30</v>
      </c>
      <c r="G11" s="19"/>
      <c r="H11" s="25">
        <f>SUM(C11:F11)</f>
        <v>250</v>
      </c>
      <c r="I11" s="9"/>
      <c r="J11" t="s" s="33">
        <v>25</v>
      </c>
      <c r="K11" s="9"/>
    </row>
    <row r="12" ht="18" customHeight="1">
      <c r="A12" t="s" s="35">
        <v>28</v>
      </c>
      <c r="B12" t="s" s="36">
        <v>29</v>
      </c>
      <c r="C12" s="22">
        <v>6.16086956521739</v>
      </c>
      <c r="D12" s="22">
        <v>136.644927536232</v>
      </c>
      <c r="E12" s="22">
        <v>0</v>
      </c>
      <c r="F12" s="23">
        <v>4.73913043478261</v>
      </c>
      <c r="G12" s="24"/>
      <c r="H12" s="25">
        <f>SUM(C12:F12)</f>
        <v>147.544927536232</v>
      </c>
      <c r="I12" s="9"/>
      <c r="J12" t="s" s="27">
        <v>8</v>
      </c>
      <c r="K12" s="9"/>
    </row>
    <row r="13" ht="18" customHeight="1">
      <c r="A13" t="s" s="35">
        <v>30</v>
      </c>
      <c r="B13" t="s" s="36">
        <v>31</v>
      </c>
      <c r="C13" s="22">
        <v>13</v>
      </c>
      <c r="D13" s="22">
        <v>288.333333333333</v>
      </c>
      <c r="E13" s="22">
        <v>0</v>
      </c>
      <c r="F13" s="23">
        <v>10</v>
      </c>
      <c r="G13" s="24"/>
      <c r="H13" s="25">
        <f>SUM(C13:F13)</f>
        <v>311.333333333333</v>
      </c>
      <c r="I13" s="9"/>
      <c r="J13" t="s" s="27">
        <v>8</v>
      </c>
      <c r="K13" s="9"/>
    </row>
    <row r="14" ht="18" customHeight="1">
      <c r="A14" t="s" s="35">
        <v>32</v>
      </c>
      <c r="B14" t="s" s="36">
        <v>33</v>
      </c>
      <c r="C14" s="22">
        <v>19.8391304347826</v>
      </c>
      <c r="D14" s="22">
        <v>440.021739130435</v>
      </c>
      <c r="E14" s="22">
        <v>0</v>
      </c>
      <c r="F14" s="23">
        <v>15.2608695652174</v>
      </c>
      <c r="G14" s="24"/>
      <c r="H14" s="25">
        <f>SUM(C14:F14)</f>
        <v>475.121739130435</v>
      </c>
      <c r="I14" s="8"/>
      <c r="J14" t="s" s="27">
        <v>8</v>
      </c>
      <c r="K14" s="9"/>
    </row>
    <row r="15" ht="18" customHeight="1">
      <c r="A15" t="s" s="37">
        <v>34</v>
      </c>
      <c r="B15" s="38"/>
      <c r="C15" s="39">
        <v>11.9</v>
      </c>
      <c r="D15" s="39">
        <v>652.12</v>
      </c>
      <c r="E15" s="39">
        <v>11.9</v>
      </c>
      <c r="F15" s="40">
        <v>22.1</v>
      </c>
      <c r="G15" s="24"/>
      <c r="H15" s="14">
        <f>SUM(C15:F15)</f>
        <v>698.02</v>
      </c>
      <c r="I15" s="41"/>
      <c r="J15" s="42"/>
      <c r="K15" s="9"/>
    </row>
    <row r="16" ht="18" customHeight="1">
      <c r="A16" t="s" s="37">
        <v>35</v>
      </c>
      <c r="B16" s="38"/>
      <c r="C16" s="39">
        <v>11.55</v>
      </c>
      <c r="D16" s="39">
        <v>632.9400000000001</v>
      </c>
      <c r="E16" s="39">
        <v>11.55</v>
      </c>
      <c r="F16" s="40">
        <v>21.45</v>
      </c>
      <c r="G16" s="24"/>
      <c r="H16" s="14">
        <f>SUM(C16:F16)</f>
        <v>677.49</v>
      </c>
      <c r="I16" s="41"/>
      <c r="J16" s="42"/>
      <c r="K16" s="9"/>
    </row>
    <row r="17" ht="18" customHeight="1">
      <c r="A17" t="s" s="37">
        <v>36</v>
      </c>
      <c r="B17" s="38"/>
      <c r="C17" s="39">
        <v>11.55</v>
      </c>
      <c r="D17" s="39">
        <v>632.9400000000001</v>
      </c>
      <c r="E17" s="39">
        <v>11.55</v>
      </c>
      <c r="F17" s="40">
        <v>21.45</v>
      </c>
      <c r="G17" s="24"/>
      <c r="H17" s="14">
        <f>SUM(C17:F17)</f>
        <v>677.49</v>
      </c>
      <c r="I17" s="41"/>
      <c r="J17" s="42"/>
      <c r="K17" s="9"/>
    </row>
    <row r="18" ht="18" customHeight="1">
      <c r="A18" t="s" s="35">
        <v>37</v>
      </c>
      <c r="B18" t="s" s="36">
        <v>38</v>
      </c>
      <c r="C18" s="22">
        <v>56.8</v>
      </c>
      <c r="D18" s="22">
        <v>579.2</v>
      </c>
      <c r="E18" s="22">
        <v>0</v>
      </c>
      <c r="F18" s="23">
        <v>28.8</v>
      </c>
      <c r="G18" s="24"/>
      <c r="H18" s="25">
        <f>SUM(C18:F18)</f>
        <v>664.8</v>
      </c>
      <c r="I18" s="26"/>
      <c r="J18" t="s" s="27">
        <v>8</v>
      </c>
      <c r="K18" s="9"/>
    </row>
    <row r="19" ht="18" customHeight="1">
      <c r="A19" t="s" s="35">
        <v>39</v>
      </c>
      <c r="B19" t="s" s="36">
        <v>40</v>
      </c>
      <c r="C19" s="22">
        <v>14.2</v>
      </c>
      <c r="D19" s="22">
        <v>144.8</v>
      </c>
      <c r="E19" s="22">
        <v>0</v>
      </c>
      <c r="F19" s="23">
        <v>7.2</v>
      </c>
      <c r="G19" s="24"/>
      <c r="H19" s="25">
        <f>SUM(C19:F19)</f>
        <v>166.2</v>
      </c>
      <c r="I19" s="9"/>
      <c r="J19" t="s" s="27">
        <v>8</v>
      </c>
      <c r="K19" s="9"/>
    </row>
    <row r="20" ht="18" customHeight="1">
      <c r="A20" t="s" s="35">
        <v>41</v>
      </c>
      <c r="B20" t="s" s="43">
        <v>42</v>
      </c>
      <c r="C20" s="12"/>
      <c r="D20" s="12">
        <v>1999</v>
      </c>
      <c r="E20" s="12">
        <v>40</v>
      </c>
      <c r="F20" s="12">
        <v>105</v>
      </c>
      <c r="G20" s="32"/>
      <c r="H20" s="25">
        <f>SUM(C20:F20)</f>
        <v>2144</v>
      </c>
      <c r="I20" s="8"/>
      <c r="J20" t="s" s="27">
        <v>8</v>
      </c>
      <c r="K20" s="9"/>
    </row>
    <row r="21" ht="18" customHeight="1">
      <c r="A21" t="s" s="35">
        <v>43</v>
      </c>
      <c r="B21" t="s" s="43">
        <v>44</v>
      </c>
      <c r="C21" s="12"/>
      <c r="D21" s="12">
        <v>5247</v>
      </c>
      <c r="E21" s="12"/>
      <c r="F21" s="12">
        <v>462</v>
      </c>
      <c r="G21" s="19"/>
      <c r="H21" s="14">
        <f>SUM(C21:F21)</f>
        <v>5709</v>
      </c>
      <c r="I21" s="15"/>
      <c r="J21" t="s" s="16">
        <v>8</v>
      </c>
      <c r="K21" s="9"/>
    </row>
    <row r="22" ht="18" customHeight="1">
      <c r="A22" t="s" s="35">
        <v>45</v>
      </c>
      <c r="B22" t="s" s="36">
        <v>46</v>
      </c>
      <c r="C22" s="22">
        <v>0</v>
      </c>
      <c r="D22" s="22">
        <v>10.6285714285714</v>
      </c>
      <c r="E22" s="22">
        <v>0</v>
      </c>
      <c r="F22" s="23">
        <v>0.771428571428571</v>
      </c>
      <c r="G22" s="24"/>
      <c r="H22" s="25">
        <f>SUM(C22:F22)</f>
        <v>11.4</v>
      </c>
      <c r="I22" s="26"/>
      <c r="J22" t="s" s="27">
        <v>8</v>
      </c>
      <c r="K22" s="9"/>
    </row>
    <row r="23" ht="18" customHeight="1">
      <c r="A23" t="s" s="35">
        <v>47</v>
      </c>
      <c r="B23" t="s" s="36">
        <v>48</v>
      </c>
      <c r="C23" s="22">
        <v>0</v>
      </c>
      <c r="D23" s="22">
        <v>609.371428571429</v>
      </c>
      <c r="E23" s="22">
        <v>0</v>
      </c>
      <c r="F23" s="23">
        <v>44.2285714285714</v>
      </c>
      <c r="G23" s="24"/>
      <c r="H23" s="25">
        <f>SUM(C23:F23)</f>
        <v>653.6</v>
      </c>
      <c r="I23" s="9"/>
      <c r="J23" t="s" s="27">
        <v>8</v>
      </c>
      <c r="K23" s="9"/>
    </row>
    <row r="24" ht="18" customHeight="1">
      <c r="A24" t="s" s="35">
        <v>49</v>
      </c>
      <c r="B24" t="s" s="43">
        <v>50</v>
      </c>
      <c r="C24" s="12">
        <v>46</v>
      </c>
      <c r="D24" s="12">
        <v>341</v>
      </c>
      <c r="E24" s="12">
        <v>10</v>
      </c>
      <c r="F24" s="12">
        <v>32</v>
      </c>
      <c r="G24" s="32"/>
      <c r="H24" s="25">
        <f>SUM(C24:F24)</f>
        <v>429</v>
      </c>
      <c r="I24" s="9"/>
      <c r="J24" t="s" s="27">
        <v>8</v>
      </c>
      <c r="K24" s="9"/>
    </row>
    <row r="25" ht="18" customHeight="1">
      <c r="A25" t="s" s="35">
        <v>51</v>
      </c>
      <c r="B25" t="s" s="43">
        <v>52</v>
      </c>
      <c r="C25" s="12">
        <v>10</v>
      </c>
      <c r="D25" s="12">
        <v>1305</v>
      </c>
      <c r="E25" s="12">
        <v>1</v>
      </c>
      <c r="F25" s="12">
        <v>262</v>
      </c>
      <c r="G25" s="44"/>
      <c r="H25" s="25">
        <f>SUM(C25:F25)</f>
        <v>1578</v>
      </c>
      <c r="I25" s="9"/>
      <c r="J25" t="s" s="27">
        <v>8</v>
      </c>
      <c r="K25" s="9"/>
    </row>
    <row r="26" ht="18" customHeight="1">
      <c r="A26" t="s" s="20">
        <v>53</v>
      </c>
      <c r="B26" t="s" s="30">
        <v>54</v>
      </c>
      <c r="C26" s="45">
        <v>34</v>
      </c>
      <c r="D26" s="45">
        <v>553</v>
      </c>
      <c r="E26" s="45">
        <v>0</v>
      </c>
      <c r="F26" s="45">
        <v>58</v>
      </c>
      <c r="G26" s="44"/>
      <c r="H26" s="25">
        <f>SUM(C26:F26)</f>
        <v>645</v>
      </c>
      <c r="I26" s="9"/>
      <c r="J26" t="s" s="27">
        <v>8</v>
      </c>
      <c r="K26" s="9"/>
    </row>
    <row r="27" ht="18" customHeight="1">
      <c r="A27" t="s" s="20">
        <v>55</v>
      </c>
      <c r="B27" t="s" s="30">
        <v>56</v>
      </c>
      <c r="C27" s="45">
        <v>0</v>
      </c>
      <c r="D27" s="45">
        <v>2508</v>
      </c>
      <c r="E27" s="45">
        <v>42</v>
      </c>
      <c r="F27" s="45">
        <v>268</v>
      </c>
      <c r="G27" s="19"/>
      <c r="H27" s="25">
        <f>SUM(C27:F27)</f>
        <v>2818</v>
      </c>
      <c r="I27" s="9"/>
      <c r="J27" t="s" s="27">
        <v>8</v>
      </c>
      <c r="K27" s="9"/>
    </row>
    <row r="28" ht="18" customHeight="1">
      <c r="A28" t="s" s="35">
        <v>57</v>
      </c>
      <c r="B28" t="s" s="36">
        <v>58</v>
      </c>
      <c r="C28" s="22">
        <v>0</v>
      </c>
      <c r="D28" s="22">
        <v>599.094240837696</v>
      </c>
      <c r="E28" s="22">
        <v>0</v>
      </c>
      <c r="F28" s="23">
        <v>23.586387434555</v>
      </c>
      <c r="G28" s="24"/>
      <c r="H28" s="25">
        <f>SUM(C28:F28)</f>
        <v>622.6806282722511</v>
      </c>
      <c r="I28" s="9"/>
      <c r="J28" t="s" s="27">
        <v>8</v>
      </c>
      <c r="K28" s="9"/>
    </row>
    <row r="29" ht="18" customHeight="1">
      <c r="A29" t="s" s="35">
        <v>59</v>
      </c>
      <c r="B29" t="s" s="36">
        <v>60</v>
      </c>
      <c r="C29" s="22">
        <v>0</v>
      </c>
      <c r="D29" s="22">
        <v>209.450261780105</v>
      </c>
      <c r="E29" s="22">
        <v>0</v>
      </c>
      <c r="F29" s="23">
        <v>8.246073298429319</v>
      </c>
      <c r="G29" s="24"/>
      <c r="H29" s="25">
        <f>SUM(C29:F29)</f>
        <v>217.696335078534</v>
      </c>
      <c r="I29" s="9"/>
      <c r="J29" t="s" s="27">
        <v>8</v>
      </c>
      <c r="K29" s="9"/>
    </row>
    <row r="30" ht="18" customHeight="1">
      <c r="A30" t="s" s="35">
        <v>61</v>
      </c>
      <c r="B30" t="s" s="36">
        <v>62</v>
      </c>
      <c r="C30" s="22">
        <v>0</v>
      </c>
      <c r="D30" s="22">
        <v>151.602094240838</v>
      </c>
      <c r="E30" s="22">
        <v>0</v>
      </c>
      <c r="F30" s="23">
        <v>5.96858638743455</v>
      </c>
      <c r="G30" s="24"/>
      <c r="H30" s="25">
        <f>SUM(C30:F30)</f>
        <v>157.570680628273</v>
      </c>
      <c r="I30" s="9"/>
      <c r="J30" t="s" s="27">
        <v>8</v>
      </c>
      <c r="K30" s="9"/>
    </row>
    <row r="31" ht="18" customHeight="1">
      <c r="A31" t="s" s="35">
        <v>63</v>
      </c>
      <c r="B31" t="s" s="36">
        <v>64</v>
      </c>
      <c r="C31" s="22">
        <v>0</v>
      </c>
      <c r="D31" s="22">
        <v>55.8534031413613</v>
      </c>
      <c r="E31" s="22">
        <v>0</v>
      </c>
      <c r="F31" s="23">
        <v>2.19895287958115</v>
      </c>
      <c r="G31" s="24"/>
      <c r="H31" s="25">
        <f>SUM(C31:F31)</f>
        <v>58.0523560209425</v>
      </c>
      <c r="I31" s="9"/>
      <c r="J31" t="s" s="27">
        <v>8</v>
      </c>
      <c r="K31" s="9"/>
    </row>
    <row r="32" ht="18" customHeight="1">
      <c r="A32" t="s" s="35">
        <v>65</v>
      </c>
      <c r="B32" t="s" s="43">
        <v>66</v>
      </c>
      <c r="C32" s="12">
        <v>134</v>
      </c>
      <c r="D32" s="12">
        <v>1407</v>
      </c>
      <c r="E32" s="12"/>
      <c r="F32" s="12">
        <v>178</v>
      </c>
      <c r="G32" s="24"/>
      <c r="H32" s="25">
        <f>SUM(C32:F32)</f>
        <v>1719</v>
      </c>
      <c r="I32" s="9"/>
      <c r="J32" t="s" s="27">
        <v>8</v>
      </c>
      <c r="K32" s="9"/>
    </row>
    <row r="33" ht="18" customHeight="1">
      <c r="A33" t="s" s="35">
        <v>67</v>
      </c>
      <c r="B33" t="s" s="36">
        <v>68</v>
      </c>
      <c r="C33" s="22">
        <v>19.3544303797468</v>
      </c>
      <c r="D33" s="22">
        <v>1224.167721518990</v>
      </c>
      <c r="E33" s="22">
        <v>3.07911392405063</v>
      </c>
      <c r="F33" s="23">
        <v>33.870253164557</v>
      </c>
      <c r="G33" s="24"/>
      <c r="H33" s="25">
        <f>SUM(C33:F33)</f>
        <v>1280.471518987340</v>
      </c>
      <c r="I33" s="9"/>
      <c r="J33" t="s" s="27">
        <v>8</v>
      </c>
      <c r="K33" s="9"/>
    </row>
    <row r="34" ht="18" customHeight="1">
      <c r="A34" t="s" s="35">
        <v>69</v>
      </c>
      <c r="B34" t="s" s="36">
        <v>70</v>
      </c>
      <c r="C34" s="22">
        <v>24.6455696202532</v>
      </c>
      <c r="D34" s="22">
        <v>1558.832278481010</v>
      </c>
      <c r="E34" s="22">
        <v>3.92088607594937</v>
      </c>
      <c r="F34" s="23">
        <v>43.129746835443</v>
      </c>
      <c r="G34" s="24"/>
      <c r="H34" s="25">
        <f>SUM(C34:F34)</f>
        <v>1630.528481012660</v>
      </c>
      <c r="I34" s="8"/>
      <c r="J34" t="s" s="27">
        <v>8</v>
      </c>
      <c r="K34" s="9"/>
    </row>
    <row r="35" ht="18" customHeight="1">
      <c r="A35" t="s" s="35">
        <v>71</v>
      </c>
      <c r="B35" t="s" s="43">
        <v>72</v>
      </c>
      <c r="C35" s="12">
        <v>258</v>
      </c>
      <c r="D35" s="12">
        <v>14375</v>
      </c>
      <c r="E35" s="12">
        <v>258</v>
      </c>
      <c r="F35" s="12">
        <v>102</v>
      </c>
      <c r="G35" s="24"/>
      <c r="H35" s="14">
        <f>SUM(C35:F35)</f>
        <v>14993</v>
      </c>
      <c r="I35" s="15"/>
      <c r="J35" t="s" s="16">
        <v>8</v>
      </c>
      <c r="K35" s="9"/>
    </row>
    <row r="36" ht="18" customHeight="1">
      <c r="A36" t="s" s="35">
        <v>73</v>
      </c>
      <c r="B36" t="s" s="36">
        <v>74</v>
      </c>
      <c r="C36" s="46"/>
      <c r="D36" s="12">
        <v>2541</v>
      </c>
      <c r="E36" s="12"/>
      <c r="F36" s="12">
        <v>859</v>
      </c>
      <c r="G36" s="24"/>
      <c r="H36" s="25">
        <f>SUM(C36:F36)</f>
        <v>3400</v>
      </c>
      <c r="I36" s="26"/>
      <c r="J36" t="s" s="27">
        <v>8</v>
      </c>
      <c r="K36" s="9"/>
    </row>
    <row r="37" ht="18" customHeight="1">
      <c r="A37" t="s" s="35">
        <v>75</v>
      </c>
      <c r="B37" t="s" s="36">
        <v>76</v>
      </c>
      <c r="C37" s="22">
        <v>0</v>
      </c>
      <c r="D37" s="22">
        <v>473.849258649094</v>
      </c>
      <c r="E37" s="22">
        <v>0</v>
      </c>
      <c r="F37" s="23">
        <v>327.672158154860</v>
      </c>
      <c r="G37" s="24"/>
      <c r="H37" s="25">
        <f>SUM(C37:F37)</f>
        <v>801.521416803954</v>
      </c>
      <c r="I37" s="9"/>
      <c r="J37" t="s" s="27">
        <v>8</v>
      </c>
      <c r="K37" s="9"/>
    </row>
    <row r="38" ht="18" customHeight="1">
      <c r="A38" t="s" s="35">
        <v>77</v>
      </c>
      <c r="B38" t="s" s="36">
        <v>78</v>
      </c>
      <c r="C38" s="22">
        <v>0</v>
      </c>
      <c r="D38" s="22">
        <v>7.95716639209226</v>
      </c>
      <c r="E38" s="22">
        <v>0</v>
      </c>
      <c r="F38" s="23">
        <v>5.50247116968699</v>
      </c>
      <c r="G38" s="24"/>
      <c r="H38" s="25">
        <f>SUM(C38:F38)</f>
        <v>13.4596375617793</v>
      </c>
      <c r="I38" s="9"/>
      <c r="J38" t="s" s="27">
        <v>8</v>
      </c>
      <c r="K38" s="9"/>
    </row>
    <row r="39" ht="18" customHeight="1">
      <c r="A39" t="s" s="35">
        <v>79</v>
      </c>
      <c r="B39" t="s" s="36">
        <v>80</v>
      </c>
      <c r="C39" s="22">
        <v>0</v>
      </c>
      <c r="D39" s="22">
        <v>1.19357495881384</v>
      </c>
      <c r="E39" s="22">
        <v>0</v>
      </c>
      <c r="F39" s="23">
        <v>0.825370675453048</v>
      </c>
      <c r="G39" s="24"/>
      <c r="H39" s="25">
        <f>SUM(C39:F39)</f>
        <v>2.01894563426689</v>
      </c>
      <c r="I39" s="9"/>
      <c r="J39" t="s" s="27">
        <v>8</v>
      </c>
      <c r="K39" s="9"/>
    </row>
    <row r="40" ht="18" customHeight="1">
      <c r="A40" t="s" s="35">
        <v>81</v>
      </c>
      <c r="B40" t="s" s="43">
        <v>82</v>
      </c>
      <c r="C40" s="12"/>
      <c r="D40" s="12">
        <v>870</v>
      </c>
      <c r="E40" s="12"/>
      <c r="F40" s="12">
        <v>122</v>
      </c>
      <c r="G40" s="24"/>
      <c r="H40" s="25">
        <f>SUM(C40:F40)</f>
        <v>992</v>
      </c>
      <c r="I40" s="8"/>
      <c r="J40" t="s" s="27">
        <v>8</v>
      </c>
      <c r="K40" s="9"/>
    </row>
    <row r="41" ht="18" customHeight="1">
      <c r="A41" t="s" s="35">
        <v>83</v>
      </c>
      <c r="B41" t="s" s="43">
        <v>84</v>
      </c>
      <c r="C41" s="12"/>
      <c r="D41" s="12">
        <v>2027</v>
      </c>
      <c r="E41" s="47">
        <v>1708</v>
      </c>
      <c r="F41" s="48">
        <v>777</v>
      </c>
      <c r="G41" s="49"/>
      <c r="H41" s="50">
        <f>SUM(C41:F41)</f>
        <v>4512</v>
      </c>
      <c r="I41" s="15"/>
      <c r="J41" t="s" s="51">
        <v>85</v>
      </c>
      <c r="K41" s="9"/>
    </row>
    <row r="42" ht="18" customHeight="1">
      <c r="A42" t="s" s="10">
        <v>86</v>
      </c>
      <c r="B42" t="s" s="11">
        <v>87</v>
      </c>
      <c r="C42" s="12">
        <v>30</v>
      </c>
      <c r="D42" s="12">
        <v>642</v>
      </c>
      <c r="E42" s="52">
        <v>43</v>
      </c>
      <c r="F42" s="52">
        <v>235</v>
      </c>
      <c r="G42" s="24"/>
      <c r="H42" s="14">
        <f>SUM(C42:F42)</f>
        <v>950</v>
      </c>
      <c r="I42" s="15"/>
      <c r="J42" t="s" s="16">
        <v>8</v>
      </c>
      <c r="K42" s="9"/>
    </row>
    <row r="43" ht="18" customHeight="1">
      <c r="A43" t="s" s="17">
        <v>88</v>
      </c>
      <c r="B43" t="s" s="18">
        <v>89</v>
      </c>
      <c r="C43" s="12">
        <v>302</v>
      </c>
      <c r="D43" s="12">
        <v>2967</v>
      </c>
      <c r="E43" s="12">
        <v>25</v>
      </c>
      <c r="F43" s="12">
        <v>153</v>
      </c>
      <c r="G43" s="24"/>
      <c r="H43" s="25">
        <f>SUM(C43:F43)</f>
        <v>3447</v>
      </c>
      <c r="I43" s="26"/>
      <c r="J43" t="s" s="27">
        <v>8</v>
      </c>
      <c r="K43" s="9"/>
    </row>
    <row r="44" ht="18" customHeight="1">
      <c r="A44" t="s" s="35">
        <v>90</v>
      </c>
      <c r="B44" t="s" s="43">
        <v>91</v>
      </c>
      <c r="C44" s="12"/>
      <c r="D44" s="12">
        <v>4062</v>
      </c>
      <c r="E44" s="12">
        <v>28</v>
      </c>
      <c r="F44" s="12">
        <v>2324</v>
      </c>
      <c r="G44" s="24"/>
      <c r="H44" s="25">
        <f>SUM(C44:F44)</f>
        <v>6414</v>
      </c>
      <c r="I44" s="9"/>
      <c r="J44" t="s" s="27">
        <v>8</v>
      </c>
      <c r="K44" s="9"/>
    </row>
    <row r="45" ht="18" customHeight="1">
      <c r="A45" t="s" s="35">
        <v>92</v>
      </c>
      <c r="B45" t="s" s="43">
        <v>93</v>
      </c>
      <c r="C45" s="12"/>
      <c r="D45" s="12">
        <v>826</v>
      </c>
      <c r="E45" s="12">
        <v>138</v>
      </c>
      <c r="F45" s="12">
        <v>114</v>
      </c>
      <c r="G45" s="24"/>
      <c r="H45" s="25">
        <f>SUM(C45:F45)</f>
        <v>1078</v>
      </c>
      <c r="I45" s="9"/>
      <c r="J45" t="s" s="27">
        <v>8</v>
      </c>
      <c r="K45" s="9"/>
    </row>
    <row r="46" ht="18" customHeight="1">
      <c r="A46" t="s" s="35">
        <v>94</v>
      </c>
      <c r="B46" t="s" s="43">
        <v>95</v>
      </c>
      <c r="C46" s="12">
        <v>827</v>
      </c>
      <c r="D46" s="12">
        <v>8891</v>
      </c>
      <c r="E46" s="12">
        <v>615</v>
      </c>
      <c r="F46" s="12">
        <v>6997</v>
      </c>
      <c r="G46" s="24"/>
      <c r="H46" s="25">
        <f>SUM(C46:F46)</f>
        <v>17330</v>
      </c>
      <c r="I46" s="8"/>
      <c r="J46" t="s" s="27">
        <v>8</v>
      </c>
      <c r="K46" s="9"/>
    </row>
    <row r="47" ht="18" customHeight="1">
      <c r="A47" t="s" s="35">
        <v>96</v>
      </c>
      <c r="B47" t="s" s="43">
        <v>97</v>
      </c>
      <c r="C47" s="12"/>
      <c r="D47" s="12">
        <v>829</v>
      </c>
      <c r="E47" s="12"/>
      <c r="F47" s="12">
        <v>11</v>
      </c>
      <c r="G47" s="24"/>
      <c r="H47" s="14">
        <f>SUM(C47:F47)</f>
        <v>840</v>
      </c>
      <c r="I47" s="15"/>
      <c r="J47" t="s" s="16">
        <v>8</v>
      </c>
      <c r="K47" s="9"/>
    </row>
    <row r="48" ht="18" customHeight="1">
      <c r="A48" t="s" s="35">
        <v>98</v>
      </c>
      <c r="B48" t="s" s="43">
        <v>99</v>
      </c>
      <c r="C48" s="12">
        <v>584</v>
      </c>
      <c r="D48" s="12">
        <v>1639</v>
      </c>
      <c r="E48" s="12">
        <v>215</v>
      </c>
      <c r="F48" s="12">
        <v>1621</v>
      </c>
      <c r="G48" s="24"/>
      <c r="H48" s="25">
        <f>SUM(C48:F48)</f>
        <v>4059</v>
      </c>
      <c r="I48" s="26"/>
      <c r="J48" t="s" s="27">
        <v>8</v>
      </c>
      <c r="K48" s="9"/>
    </row>
    <row r="49" ht="18" customHeight="1">
      <c r="A49" t="s" s="35">
        <v>100</v>
      </c>
      <c r="B49" t="s" s="43">
        <v>101</v>
      </c>
      <c r="C49" s="12">
        <v>51</v>
      </c>
      <c r="D49" s="12">
        <v>328</v>
      </c>
      <c r="E49" s="12">
        <v>15</v>
      </c>
      <c r="F49" s="12">
        <v>22</v>
      </c>
      <c r="G49" s="24"/>
      <c r="H49" s="25">
        <f>SUM(C49:F49)</f>
        <v>416</v>
      </c>
      <c r="I49" s="9"/>
      <c r="J49" t="s" s="27">
        <v>8</v>
      </c>
      <c r="K49" s="9"/>
    </row>
    <row r="50" ht="18" customHeight="1">
      <c r="A50" t="s" s="35">
        <v>102</v>
      </c>
      <c r="B50" t="s" s="43">
        <v>103</v>
      </c>
      <c r="C50" s="12">
        <v>345</v>
      </c>
      <c r="D50" s="12">
        <v>1310</v>
      </c>
      <c r="E50" s="12">
        <v>60</v>
      </c>
      <c r="F50" s="12">
        <v>345</v>
      </c>
      <c r="G50" s="24"/>
      <c r="H50" s="25">
        <f>SUM(C50:F50)</f>
        <v>2060</v>
      </c>
      <c r="I50" s="9"/>
      <c r="J50" t="s" s="27">
        <v>8</v>
      </c>
      <c r="K50" s="9"/>
    </row>
    <row r="51" ht="18" customHeight="1">
      <c r="A51" t="s" s="20">
        <v>104</v>
      </c>
      <c r="B51" t="s" s="30">
        <v>105</v>
      </c>
      <c r="C51" s="45">
        <v>0</v>
      </c>
      <c r="D51" s="45">
        <v>169</v>
      </c>
      <c r="E51" s="45">
        <v>0</v>
      </c>
      <c r="F51" s="45">
        <v>115</v>
      </c>
      <c r="G51" s="32"/>
      <c r="H51" s="25">
        <f>SUM(C51:F51)</f>
        <v>284</v>
      </c>
      <c r="I51" s="9"/>
      <c r="J51" t="s" s="27">
        <v>8</v>
      </c>
      <c r="K51" s="9"/>
    </row>
    <row r="52" ht="18" customHeight="1">
      <c r="A52" t="s" s="20">
        <v>106</v>
      </c>
      <c r="B52" t="s" s="30">
        <v>107</v>
      </c>
      <c r="C52" s="45">
        <v>0</v>
      </c>
      <c r="D52" s="45">
        <v>150</v>
      </c>
      <c r="E52" s="45">
        <v>0</v>
      </c>
      <c r="F52" s="45">
        <v>89</v>
      </c>
      <c r="G52" s="44"/>
      <c r="H52" s="25">
        <f>SUM(C52:F52)</f>
        <v>239</v>
      </c>
      <c r="I52" s="9"/>
      <c r="J52" t="s" s="27">
        <v>8</v>
      </c>
      <c r="K52" s="9"/>
    </row>
    <row r="53" ht="18" customHeight="1">
      <c r="A53" t="s" s="20">
        <v>108</v>
      </c>
      <c r="B53" t="s" s="30">
        <v>109</v>
      </c>
      <c r="C53" s="45">
        <v>0</v>
      </c>
      <c r="D53" s="45">
        <v>475</v>
      </c>
      <c r="E53" s="45">
        <v>38</v>
      </c>
      <c r="F53" s="45">
        <v>500</v>
      </c>
      <c r="G53" s="44"/>
      <c r="H53" s="25">
        <f>SUM(C53:F53)</f>
        <v>1013</v>
      </c>
      <c r="I53" s="9"/>
      <c r="J53" t="s" s="27">
        <v>8</v>
      </c>
      <c r="K53" s="9"/>
    </row>
    <row r="54" ht="18" customHeight="1">
      <c r="A54" t="s" s="20">
        <v>110</v>
      </c>
      <c r="B54" t="s" s="30">
        <v>111</v>
      </c>
      <c r="C54" s="45">
        <v>409</v>
      </c>
      <c r="D54" s="45">
        <v>578</v>
      </c>
      <c r="E54" s="45">
        <v>224</v>
      </c>
      <c r="F54" s="45">
        <v>1807</v>
      </c>
      <c r="G54" s="19"/>
      <c r="H54" s="25">
        <f>SUM(C54:F54)</f>
        <v>3018</v>
      </c>
      <c r="I54" s="9"/>
      <c r="J54" t="s" s="27">
        <v>8</v>
      </c>
      <c r="K54" s="9"/>
    </row>
    <row r="55" ht="18" customHeight="1">
      <c r="A55" t="s" s="35">
        <v>112</v>
      </c>
      <c r="B55" t="s" s="43">
        <v>113</v>
      </c>
      <c r="C55" s="12">
        <v>20</v>
      </c>
      <c r="D55" s="12"/>
      <c r="E55" s="12">
        <v>20</v>
      </c>
      <c r="F55" s="12">
        <v>40</v>
      </c>
      <c r="G55" s="24"/>
      <c r="H55" s="25">
        <f>SUM(C55:F55)</f>
        <v>80</v>
      </c>
      <c r="I55" s="9"/>
      <c r="J55" t="s" s="27">
        <v>8</v>
      </c>
      <c r="K55" s="9"/>
    </row>
    <row r="56" ht="18" customHeight="1">
      <c r="A56" t="s" s="35">
        <v>114</v>
      </c>
      <c r="B56" t="s" s="43">
        <v>115</v>
      </c>
      <c r="C56" s="12"/>
      <c r="D56" s="12"/>
      <c r="E56" s="12">
        <v>15</v>
      </c>
      <c r="F56" s="12">
        <v>269</v>
      </c>
      <c r="G56" s="24"/>
      <c r="H56" s="25">
        <f>SUM(C56:F56)</f>
        <v>284</v>
      </c>
      <c r="I56" s="9"/>
      <c r="J56" t="s" s="27">
        <v>8</v>
      </c>
      <c r="K56" s="9"/>
    </row>
    <row r="57" ht="18" customHeight="1">
      <c r="A57" t="s" s="10">
        <v>116</v>
      </c>
      <c r="B57" t="s" s="11">
        <v>117</v>
      </c>
      <c r="C57" s="12"/>
      <c r="D57" s="12"/>
      <c r="E57" s="12">
        <v>2011</v>
      </c>
      <c r="F57" s="12">
        <v>21793</v>
      </c>
      <c r="G57" s="24"/>
      <c r="H57" s="25">
        <f>SUM(C57:F57)</f>
        <v>23804</v>
      </c>
      <c r="I57" s="9"/>
      <c r="J57" t="s" s="27">
        <v>8</v>
      </c>
      <c r="K57" s="9"/>
    </row>
    <row r="58" ht="18" customHeight="1">
      <c r="A58" t="s" s="17">
        <v>118</v>
      </c>
      <c r="B58" t="s" s="18">
        <v>119</v>
      </c>
      <c r="C58" s="12">
        <v>6</v>
      </c>
      <c r="D58" s="12"/>
      <c r="E58" s="12">
        <v>10</v>
      </c>
      <c r="F58" s="12"/>
      <c r="G58" s="24"/>
      <c r="H58" s="25">
        <f>SUM(C58:F58)</f>
        <v>16</v>
      </c>
      <c r="I58" s="9"/>
      <c r="J58" t="s" s="27">
        <v>8</v>
      </c>
      <c r="K58" s="9"/>
    </row>
    <row r="59" ht="18" customHeight="1">
      <c r="A59" t="s" s="35">
        <v>120</v>
      </c>
      <c r="B59" t="s" s="36">
        <v>121</v>
      </c>
      <c r="C59" s="22">
        <v>102.052631578947</v>
      </c>
      <c r="D59" s="22">
        <v>67.0631578947368</v>
      </c>
      <c r="E59" s="22">
        <v>0</v>
      </c>
      <c r="F59" s="23">
        <v>14.5789473684211</v>
      </c>
      <c r="G59" s="24"/>
      <c r="H59" s="25">
        <f>SUM(C59:F59)</f>
        <v>183.694736842105</v>
      </c>
      <c r="I59" s="9"/>
      <c r="J59" t="s" s="27">
        <v>8</v>
      </c>
      <c r="K59" s="9"/>
    </row>
    <row r="60" ht="18" customHeight="1">
      <c r="A60" t="s" s="35">
        <v>122</v>
      </c>
      <c r="B60" t="s" s="36">
        <v>123</v>
      </c>
      <c r="C60" s="22">
        <v>2.94736842105263</v>
      </c>
      <c r="D60" s="22">
        <v>1.93684210526316</v>
      </c>
      <c r="E60" s="22">
        <v>0</v>
      </c>
      <c r="F60" s="23">
        <v>0.421052631578947</v>
      </c>
      <c r="G60" s="24"/>
      <c r="H60" s="25">
        <f>SUM(C60:F60)</f>
        <v>5.30526315789474</v>
      </c>
      <c r="I60" s="9"/>
      <c r="J60" t="s" s="27">
        <v>8</v>
      </c>
      <c r="K60" s="9"/>
    </row>
    <row r="61" ht="18" customHeight="1">
      <c r="A61" t="s" s="35">
        <v>124</v>
      </c>
      <c r="B61" t="s" s="36">
        <v>125</v>
      </c>
      <c r="C61" s="22">
        <v>0</v>
      </c>
      <c r="D61" s="22">
        <v>124.564748201439</v>
      </c>
      <c r="E61" s="22">
        <v>1.39568345323741</v>
      </c>
      <c r="F61" s="23">
        <v>94.9064748201439</v>
      </c>
      <c r="G61" s="24"/>
      <c r="H61" s="25">
        <f>SUM(C61:F61)</f>
        <v>220.866906474820</v>
      </c>
      <c r="I61" s="9"/>
      <c r="J61" t="s" s="27">
        <v>8</v>
      </c>
      <c r="K61" s="9"/>
    </row>
    <row r="62" ht="18" customHeight="1">
      <c r="A62" t="s" s="35">
        <v>126</v>
      </c>
      <c r="B62" t="s" s="36">
        <v>127</v>
      </c>
      <c r="C62" s="22">
        <v>0</v>
      </c>
      <c r="D62" s="22">
        <v>210.604316546763</v>
      </c>
      <c r="E62" s="22">
        <v>2.35971223021583</v>
      </c>
      <c r="F62" s="23">
        <v>160.460431654676</v>
      </c>
      <c r="G62" s="24"/>
      <c r="H62" s="25">
        <f>SUM(C62:F62)</f>
        <v>373.424460431655</v>
      </c>
      <c r="I62" s="9"/>
      <c r="J62" t="s" s="27">
        <v>8</v>
      </c>
      <c r="K62" s="9"/>
    </row>
    <row r="63" ht="18" customHeight="1">
      <c r="A63" t="s" s="35">
        <v>128</v>
      </c>
      <c r="B63" t="s" s="36">
        <v>129</v>
      </c>
      <c r="C63" s="22">
        <v>0</v>
      </c>
      <c r="D63" s="22">
        <v>21.8309352517986</v>
      </c>
      <c r="E63" s="22">
        <v>0.244604316546763</v>
      </c>
      <c r="F63" s="23">
        <v>16.6330935251799</v>
      </c>
      <c r="G63" s="24"/>
      <c r="H63" s="25">
        <f>SUM(C63:F63)</f>
        <v>38.7086330935253</v>
      </c>
      <c r="I63" s="9"/>
      <c r="J63" t="s" s="27">
        <v>8</v>
      </c>
      <c r="K63" s="9"/>
    </row>
    <row r="64" ht="18" customHeight="1">
      <c r="A64" t="s" s="20">
        <v>130</v>
      </c>
      <c r="B64" t="s" s="30">
        <v>131</v>
      </c>
      <c r="C64" s="45">
        <v>0</v>
      </c>
      <c r="D64" s="45">
        <v>0</v>
      </c>
      <c r="E64" s="45">
        <v>0</v>
      </c>
      <c r="F64" s="45">
        <v>0</v>
      </c>
      <c r="G64" s="32"/>
      <c r="H64" s="25">
        <f>SUM(C64:F64)</f>
        <v>0</v>
      </c>
      <c r="I64" s="9"/>
      <c r="J64" s="9"/>
      <c r="K64" s="9"/>
    </row>
    <row r="65" ht="18" customHeight="1">
      <c r="A65" t="s" s="20">
        <v>132</v>
      </c>
      <c r="B65" t="s" s="30">
        <v>133</v>
      </c>
      <c r="C65" s="45">
        <v>25</v>
      </c>
      <c r="D65" s="45">
        <v>303</v>
      </c>
      <c r="E65" s="45">
        <v>36</v>
      </c>
      <c r="F65" s="45">
        <v>204</v>
      </c>
      <c r="G65" s="44"/>
      <c r="H65" s="25">
        <f>SUM(C65:F65)</f>
        <v>568</v>
      </c>
      <c r="I65" s="9"/>
      <c r="J65" t="s" s="27">
        <v>8</v>
      </c>
      <c r="K65" s="9"/>
    </row>
    <row r="66" ht="18" customHeight="1">
      <c r="A66" t="s" s="20">
        <v>134</v>
      </c>
      <c r="B66" t="s" s="30">
        <v>135</v>
      </c>
      <c r="C66" s="45">
        <v>10</v>
      </c>
      <c r="D66" s="45">
        <v>40</v>
      </c>
      <c r="E66" s="45">
        <v>10</v>
      </c>
      <c r="F66" s="45">
        <v>40</v>
      </c>
      <c r="G66" s="19"/>
      <c r="H66" s="25">
        <f>SUM(C66:F66)</f>
        <v>100</v>
      </c>
      <c r="I66" s="9"/>
      <c r="J66" t="s" s="27">
        <v>8</v>
      </c>
      <c r="K66" s="9"/>
    </row>
    <row r="67" ht="18" customHeight="1">
      <c r="A67" t="s" s="35">
        <v>136</v>
      </c>
      <c r="B67" t="s" s="43">
        <v>137</v>
      </c>
      <c r="C67" s="12">
        <v>12</v>
      </c>
      <c r="D67" s="12">
        <v>440</v>
      </c>
      <c r="E67" s="12">
        <v>6</v>
      </c>
      <c r="F67" s="12">
        <v>213</v>
      </c>
      <c r="G67" s="24"/>
      <c r="H67" s="25">
        <f>SUM(C67:F67)</f>
        <v>671</v>
      </c>
      <c r="I67" s="9"/>
      <c r="J67" t="s" s="27">
        <v>8</v>
      </c>
      <c r="K67" s="9"/>
    </row>
    <row r="68" ht="18" customHeight="1">
      <c r="A68" t="s" s="10">
        <v>138</v>
      </c>
      <c r="B68" t="s" s="11">
        <v>139</v>
      </c>
      <c r="C68" s="12">
        <v>112</v>
      </c>
      <c r="D68" s="12">
        <v>1161</v>
      </c>
      <c r="E68" s="12">
        <v>12</v>
      </c>
      <c r="F68" s="12">
        <v>415</v>
      </c>
      <c r="G68" s="24"/>
      <c r="H68" s="25">
        <f>SUM(C68:F68)</f>
        <v>1700</v>
      </c>
      <c r="I68" s="9"/>
      <c r="J68" t="s" s="27">
        <v>8</v>
      </c>
      <c r="K68" s="9"/>
    </row>
    <row r="69" ht="18" customHeight="1">
      <c r="A69" t="s" s="53">
        <v>140</v>
      </c>
      <c r="B69" t="s" s="54">
        <v>141</v>
      </c>
      <c r="C69" s="22">
        <v>40.4878048780488</v>
      </c>
      <c r="D69" s="22">
        <v>239.687804878049</v>
      </c>
      <c r="E69" s="22">
        <v>59.9219512195122</v>
      </c>
      <c r="F69" s="23">
        <v>120.653658536585</v>
      </c>
      <c r="G69" s="24"/>
      <c r="H69" s="25">
        <f>SUM(C69:F69)</f>
        <v>460.751219512195</v>
      </c>
      <c r="I69" s="9"/>
      <c r="J69" t="s" s="27">
        <v>8</v>
      </c>
      <c r="K69" s="9"/>
    </row>
    <row r="70" ht="18" customHeight="1">
      <c r="A70" t="s" s="53">
        <v>142</v>
      </c>
      <c r="B70" t="s" s="54">
        <v>143</v>
      </c>
      <c r="C70" s="22">
        <v>14.390243902439</v>
      </c>
      <c r="D70" s="22">
        <v>85.19024390243899</v>
      </c>
      <c r="E70" s="22">
        <v>21.2975609756098</v>
      </c>
      <c r="F70" s="23">
        <v>42.8829268292683</v>
      </c>
      <c r="G70" s="24"/>
      <c r="H70" s="25">
        <f>SUM(C70:F70)</f>
        <v>163.760975609756</v>
      </c>
      <c r="I70" s="9"/>
      <c r="J70" t="s" s="27">
        <v>8</v>
      </c>
      <c r="K70" s="9"/>
    </row>
    <row r="71" ht="18" customHeight="1">
      <c r="A71" t="s" s="53">
        <v>144</v>
      </c>
      <c r="B71" t="s" s="54">
        <v>145</v>
      </c>
      <c r="C71" s="22">
        <v>18.5365853658537</v>
      </c>
      <c r="D71" s="22">
        <v>109.736585365854</v>
      </c>
      <c r="E71" s="22">
        <v>27.4341463414634</v>
      </c>
      <c r="F71" s="23">
        <v>55.2390243902439</v>
      </c>
      <c r="G71" s="24"/>
      <c r="H71" s="25">
        <f>SUM(C71:F71)</f>
        <v>210.946341463415</v>
      </c>
      <c r="I71" s="9"/>
      <c r="J71" t="s" s="27">
        <v>8</v>
      </c>
      <c r="K71" s="9"/>
    </row>
    <row r="72" ht="18" customHeight="1">
      <c r="A72" t="s" s="53">
        <v>146</v>
      </c>
      <c r="B72" t="s" s="54">
        <v>147</v>
      </c>
      <c r="C72" s="22">
        <v>11.9512195121951</v>
      </c>
      <c r="D72" s="22">
        <v>70.75121951219511</v>
      </c>
      <c r="E72" s="22">
        <v>17.6878048780488</v>
      </c>
      <c r="F72" s="23">
        <v>35.6146341463415</v>
      </c>
      <c r="G72" s="24"/>
      <c r="H72" s="25">
        <f>SUM(C72:F72)</f>
        <v>136.004878048781</v>
      </c>
      <c r="I72" s="9"/>
      <c r="J72" t="s" s="27">
        <v>8</v>
      </c>
      <c r="K72" s="9"/>
    </row>
    <row r="73" ht="18" customHeight="1">
      <c r="A73" t="s" s="17">
        <v>148</v>
      </c>
      <c r="B73" t="s" s="55">
        <v>149</v>
      </c>
      <c r="C73" s="22">
        <v>14.6341463414634</v>
      </c>
      <c r="D73" s="22">
        <v>86.63414634146341</v>
      </c>
      <c r="E73" s="22">
        <v>21.6585365853659</v>
      </c>
      <c r="F73" s="23">
        <v>43.609756097561</v>
      </c>
      <c r="G73" s="24"/>
      <c r="H73" s="25">
        <f>SUM(C73:F73)</f>
        <v>166.536585365854</v>
      </c>
      <c r="I73" s="9"/>
      <c r="J73" t="s" s="27">
        <v>8</v>
      </c>
      <c r="K73" s="9"/>
    </row>
    <row r="74" ht="18" customHeight="1">
      <c r="A74" t="s" s="35">
        <v>150</v>
      </c>
      <c r="B74" t="s" s="43">
        <v>151</v>
      </c>
      <c r="C74" s="12">
        <v>93</v>
      </c>
      <c r="D74" s="12">
        <v>100</v>
      </c>
      <c r="E74" s="12">
        <v>93</v>
      </c>
      <c r="F74" s="12">
        <v>518</v>
      </c>
      <c r="G74" s="24"/>
      <c r="H74" s="25">
        <f>SUM(C74:F74)</f>
        <v>804</v>
      </c>
      <c r="I74" s="9"/>
      <c r="J74" t="s" s="27">
        <v>8</v>
      </c>
      <c r="K74" s="9"/>
    </row>
    <row r="75" ht="18" customHeight="1">
      <c r="A75" t="s" s="35">
        <v>152</v>
      </c>
      <c r="B75" t="s" s="43">
        <v>153</v>
      </c>
      <c r="C75" s="12"/>
      <c r="D75" s="12">
        <v>789</v>
      </c>
      <c r="E75" s="12"/>
      <c r="F75" s="12">
        <v>64</v>
      </c>
      <c r="G75" s="24"/>
      <c r="H75" s="25">
        <f>SUM(C75:F75)</f>
        <v>853</v>
      </c>
      <c r="I75" s="9"/>
      <c r="J75" t="s" s="27">
        <v>8</v>
      </c>
      <c r="K75" s="9"/>
    </row>
    <row r="76" ht="18" customHeight="1">
      <c r="A76" t="s" s="20">
        <v>154</v>
      </c>
      <c r="B76" t="s" s="30">
        <v>155</v>
      </c>
      <c r="C76" s="45">
        <v>20</v>
      </c>
      <c r="D76" s="45">
        <v>80</v>
      </c>
      <c r="E76" s="45">
        <v>0</v>
      </c>
      <c r="F76" s="45">
        <v>74</v>
      </c>
      <c r="G76" s="32"/>
      <c r="H76" s="25">
        <f>SUM(C76:F76)</f>
        <v>174</v>
      </c>
      <c r="I76" s="9"/>
      <c r="J76" t="s" s="27">
        <v>8</v>
      </c>
      <c r="K76" s="9"/>
    </row>
    <row r="77" ht="18" customHeight="1">
      <c r="A77" t="s" s="20">
        <v>156</v>
      </c>
      <c r="B77" t="s" s="30">
        <v>157</v>
      </c>
      <c r="C77" s="45">
        <v>158</v>
      </c>
      <c r="D77" s="45">
        <v>190</v>
      </c>
      <c r="E77" s="45">
        <v>0</v>
      </c>
      <c r="F77" s="45">
        <v>363</v>
      </c>
      <c r="G77" s="19"/>
      <c r="H77" s="25">
        <f>SUM(C77:F77)</f>
        <v>711</v>
      </c>
      <c r="I77" s="9"/>
      <c r="J77" t="s" s="27">
        <v>8</v>
      </c>
      <c r="K77" s="9"/>
    </row>
    <row r="78" ht="18" customHeight="1">
      <c r="A78" t="s" s="35">
        <v>158</v>
      </c>
      <c r="B78" t="s" s="43">
        <v>159</v>
      </c>
      <c r="C78" s="12">
        <v>1671</v>
      </c>
      <c r="D78" s="12">
        <v>1813</v>
      </c>
      <c r="E78" s="12"/>
      <c r="F78" s="12">
        <v>961</v>
      </c>
      <c r="G78" s="24"/>
      <c r="H78" s="25">
        <f>SUM(C78:F78)</f>
        <v>4445</v>
      </c>
      <c r="I78" s="9"/>
      <c r="J78" t="s" s="27">
        <v>8</v>
      </c>
      <c r="K78" s="9"/>
    </row>
    <row r="79" ht="18" customHeight="1">
      <c r="A79" t="s" s="35">
        <v>160</v>
      </c>
      <c r="B79" t="s" s="43">
        <v>161</v>
      </c>
      <c r="C79" s="12">
        <v>2</v>
      </c>
      <c r="D79" s="12">
        <v>16</v>
      </c>
      <c r="E79" s="12">
        <v>0</v>
      </c>
      <c r="F79" s="12">
        <v>4</v>
      </c>
      <c r="G79" s="24"/>
      <c r="H79" s="25">
        <f>SUM(C79:F79)</f>
        <v>22</v>
      </c>
      <c r="I79" s="9"/>
      <c r="J79" t="s" s="56">
        <v>85</v>
      </c>
      <c r="K79" s="9"/>
    </row>
    <row r="80" ht="18" customHeight="1">
      <c r="A80" t="s" s="35">
        <v>162</v>
      </c>
      <c r="B80" t="s" s="43">
        <v>163</v>
      </c>
      <c r="C80" s="12">
        <v>18</v>
      </c>
      <c r="D80" s="12">
        <v>180</v>
      </c>
      <c r="E80" s="12">
        <v>2</v>
      </c>
      <c r="F80" s="12">
        <v>42</v>
      </c>
      <c r="G80" s="24"/>
      <c r="H80" s="25">
        <f>SUM(C80:F80)</f>
        <v>242</v>
      </c>
      <c r="I80" s="9"/>
      <c r="J80" t="s" s="56">
        <v>85</v>
      </c>
      <c r="K80" s="9"/>
    </row>
    <row r="81" ht="18" customHeight="1">
      <c r="A81" t="s" s="20">
        <v>164</v>
      </c>
      <c r="B81" t="s" s="30">
        <v>165</v>
      </c>
      <c r="C81" s="45">
        <v>0</v>
      </c>
      <c r="D81" s="45">
        <v>0</v>
      </c>
      <c r="E81" s="45">
        <v>0</v>
      </c>
      <c r="F81" s="45">
        <v>0</v>
      </c>
      <c r="G81" s="32"/>
      <c r="H81" s="25">
        <f>SUM(C81:F81)</f>
        <v>0</v>
      </c>
      <c r="I81" s="9"/>
      <c r="J81" s="9"/>
      <c r="K81" s="9"/>
    </row>
    <row r="82" ht="18" customHeight="1">
      <c r="A82" t="s" s="20">
        <v>166</v>
      </c>
      <c r="B82" t="s" s="30">
        <v>167</v>
      </c>
      <c r="C82" s="45">
        <v>0</v>
      </c>
      <c r="D82" s="45">
        <v>0</v>
      </c>
      <c r="E82" s="45">
        <v>0</v>
      </c>
      <c r="F82" s="45">
        <v>0</v>
      </c>
      <c r="G82" s="44"/>
      <c r="H82" s="25">
        <f>SUM(C82:F82)</f>
        <v>0</v>
      </c>
      <c r="I82" s="9"/>
      <c r="J82" s="9"/>
      <c r="K82" s="9"/>
    </row>
    <row r="83" ht="18" customHeight="1">
      <c r="A83" t="s" s="20">
        <v>168</v>
      </c>
      <c r="B83" t="s" s="30">
        <v>169</v>
      </c>
      <c r="C83" s="57">
        <v>12</v>
      </c>
      <c r="D83" s="57">
        <v>377</v>
      </c>
      <c r="E83" s="57">
        <v>0</v>
      </c>
      <c r="F83" s="57">
        <v>89</v>
      </c>
      <c r="G83" s="44"/>
      <c r="H83" s="25">
        <f>SUM(C83:F83)</f>
        <v>478</v>
      </c>
      <c r="I83" s="9"/>
      <c r="J83" t="s" s="27">
        <v>8</v>
      </c>
      <c r="K83" s="9"/>
    </row>
    <row r="84" ht="18" customHeight="1">
      <c r="A84" t="s" s="20">
        <v>170</v>
      </c>
      <c r="B84" t="s" s="30">
        <v>171</v>
      </c>
      <c r="C84" s="58">
        <v>0</v>
      </c>
      <c r="D84" s="58">
        <v>0</v>
      </c>
      <c r="E84" s="58">
        <v>0</v>
      </c>
      <c r="F84" s="58">
        <v>0</v>
      </c>
      <c r="G84" s="44"/>
      <c r="H84" s="25">
        <f>SUM(C84:F84)</f>
        <v>0</v>
      </c>
      <c r="I84" s="9"/>
      <c r="J84" s="9"/>
      <c r="K84" s="9"/>
    </row>
    <row r="85" ht="18" customHeight="1">
      <c r="A85" t="s" s="20">
        <v>172</v>
      </c>
      <c r="B85" t="s" s="30">
        <v>173</v>
      </c>
      <c r="C85" s="45">
        <v>80</v>
      </c>
      <c r="D85" s="45">
        <v>0</v>
      </c>
      <c r="E85" s="45">
        <v>0</v>
      </c>
      <c r="F85" s="45">
        <v>0</v>
      </c>
      <c r="G85" s="44"/>
      <c r="H85" s="25">
        <f>SUM(C85:F85)</f>
        <v>80</v>
      </c>
      <c r="I85" s="9"/>
      <c r="J85" t="s" s="27">
        <v>8</v>
      </c>
      <c r="K85" s="9"/>
    </row>
    <row r="86" ht="18" customHeight="1">
      <c r="A86" t="s" s="20">
        <v>174</v>
      </c>
      <c r="B86" t="s" s="30">
        <v>175</v>
      </c>
      <c r="C86" s="57">
        <v>0</v>
      </c>
      <c r="D86" s="57">
        <v>668</v>
      </c>
      <c r="E86" s="57">
        <v>0</v>
      </c>
      <c r="F86" s="57">
        <v>0</v>
      </c>
      <c r="G86" s="44"/>
      <c r="H86" s="25">
        <f>SUM(C86:F86)</f>
        <v>668</v>
      </c>
      <c r="I86" s="9"/>
      <c r="J86" t="s" s="27">
        <v>8</v>
      </c>
      <c r="K86" s="9"/>
    </row>
    <row r="87" ht="18" customHeight="1">
      <c r="A87" t="s" s="20">
        <v>176</v>
      </c>
      <c r="B87" t="s" s="30">
        <v>177</v>
      </c>
      <c r="C87" s="59">
        <v>4</v>
      </c>
      <c r="D87" s="59">
        <v>163</v>
      </c>
      <c r="E87" s="59">
        <v>0</v>
      </c>
      <c r="F87" s="59">
        <v>30</v>
      </c>
      <c r="G87" s="19"/>
      <c r="H87" s="25">
        <f>SUM(C87:F87)</f>
        <v>197</v>
      </c>
      <c r="I87" s="9"/>
      <c r="J87" t="s" s="27">
        <v>8</v>
      </c>
      <c r="K87" s="9"/>
    </row>
    <row r="88" ht="18" customHeight="1">
      <c r="A88" t="s" s="10">
        <v>178</v>
      </c>
      <c r="B88" t="s" s="11">
        <v>179</v>
      </c>
      <c r="C88" s="52">
        <v>260</v>
      </c>
      <c r="D88" s="52"/>
      <c r="E88" s="52">
        <v>65</v>
      </c>
      <c r="F88" s="52">
        <v>1643</v>
      </c>
      <c r="G88" s="24"/>
      <c r="H88" s="25">
        <f>SUM(C88:F88)</f>
        <v>1968</v>
      </c>
      <c r="I88" s="9"/>
      <c r="J88" t="s" s="27">
        <v>8</v>
      </c>
      <c r="K88" s="9"/>
    </row>
    <row r="89" ht="18" customHeight="1">
      <c r="A89" t="s" s="17">
        <v>180</v>
      </c>
      <c r="B89" t="s" s="18">
        <v>181</v>
      </c>
      <c r="C89" s="12">
        <v>188</v>
      </c>
      <c r="D89" s="12"/>
      <c r="E89" s="12">
        <v>33</v>
      </c>
      <c r="F89" s="12">
        <v>279</v>
      </c>
      <c r="G89" s="24"/>
      <c r="H89" s="25">
        <f>SUM(C89:F89)</f>
        <v>500</v>
      </c>
      <c r="I89" s="9"/>
      <c r="J89" t="s" s="27">
        <v>8</v>
      </c>
      <c r="K89" s="9"/>
    </row>
    <row r="90" ht="18" customHeight="1">
      <c r="A90" t="s" s="35">
        <v>182</v>
      </c>
      <c r="B90" t="s" s="43">
        <v>183</v>
      </c>
      <c r="C90" s="12">
        <v>4</v>
      </c>
      <c r="D90" s="12">
        <v>22</v>
      </c>
      <c r="E90" s="12">
        <v>9</v>
      </c>
      <c r="F90" s="12">
        <v>48</v>
      </c>
      <c r="G90" s="24"/>
      <c r="H90" s="25">
        <f>SUM(C90:F90)</f>
        <v>83</v>
      </c>
      <c r="I90" s="9"/>
      <c r="J90" t="s" s="56">
        <v>85</v>
      </c>
      <c r="K90" s="9"/>
    </row>
    <row r="91" ht="18" customHeight="1">
      <c r="A91" t="s" s="60">
        <v>184</v>
      </c>
      <c r="B91" t="s" s="30">
        <v>185</v>
      </c>
      <c r="C91" s="12">
        <v>6</v>
      </c>
      <c r="D91" s="12">
        <v>28</v>
      </c>
      <c r="E91" s="12">
        <v>11</v>
      </c>
      <c r="F91" s="12">
        <v>62</v>
      </c>
      <c r="G91" s="24"/>
      <c r="H91" s="25">
        <f>SUM(C91:F91)</f>
        <v>107</v>
      </c>
      <c r="I91" s="9"/>
      <c r="J91" t="s" s="56">
        <v>85</v>
      </c>
      <c r="K91" s="9"/>
    </row>
    <row r="92" ht="18" customHeight="1">
      <c r="A92" t="s" s="20">
        <v>186</v>
      </c>
      <c r="B92" t="s" s="30">
        <v>187</v>
      </c>
      <c r="C92" s="45">
        <v>16</v>
      </c>
      <c r="D92" s="45">
        <v>0</v>
      </c>
      <c r="E92" s="45">
        <v>4</v>
      </c>
      <c r="F92" s="45">
        <v>231</v>
      </c>
      <c r="G92" s="32"/>
      <c r="H92" s="25">
        <f>SUM(C92:F92)</f>
        <v>251</v>
      </c>
      <c r="I92" s="9"/>
      <c r="J92" t="s" s="27">
        <v>8</v>
      </c>
      <c r="K92" s="9"/>
    </row>
    <row r="93" ht="18" customHeight="1">
      <c r="A93" t="s" s="20">
        <v>188</v>
      </c>
      <c r="B93" t="s" s="30">
        <v>189</v>
      </c>
      <c r="C93" s="45">
        <v>36</v>
      </c>
      <c r="D93" s="45">
        <v>50</v>
      </c>
      <c r="E93" s="45">
        <v>20</v>
      </c>
      <c r="F93" s="45">
        <v>143</v>
      </c>
      <c r="G93" s="44"/>
      <c r="H93" s="25">
        <f>SUM(C93:F93)</f>
        <v>249</v>
      </c>
      <c r="I93" s="9"/>
      <c r="J93" t="s" s="27">
        <v>8</v>
      </c>
      <c r="K93" s="9"/>
    </row>
    <row r="94" ht="18" customHeight="1">
      <c r="A94" t="s" s="61">
        <v>190</v>
      </c>
      <c r="B94" t="s" s="62">
        <v>191</v>
      </c>
      <c r="C94" s="45">
        <v>6</v>
      </c>
      <c r="D94" s="57">
        <v>20</v>
      </c>
      <c r="E94" s="57">
        <v>0</v>
      </c>
      <c r="F94" s="57">
        <v>46</v>
      </c>
      <c r="G94" s="19"/>
      <c r="H94" s="25">
        <f>SUM(C94:F94)</f>
        <v>72</v>
      </c>
      <c r="I94" s="9"/>
      <c r="J94" t="s" s="27">
        <v>8</v>
      </c>
      <c r="K94" s="9"/>
    </row>
    <row r="95" ht="18" customHeight="1">
      <c r="A95" t="s" s="53">
        <v>192</v>
      </c>
      <c r="B95" t="s" s="63">
        <v>193</v>
      </c>
      <c r="C95" s="64"/>
      <c r="D95" s="65"/>
      <c r="E95" s="66"/>
      <c r="F95" s="67"/>
      <c r="G95" s="24"/>
      <c r="H95" s="25">
        <f>SUM(C95:F95)</f>
        <v>0</v>
      </c>
      <c r="I95" s="9"/>
      <c r="J95" s="9"/>
      <c r="K95" s="9"/>
    </row>
    <row r="96" ht="18" customHeight="1">
      <c r="A96" t="s" s="68">
        <v>194</v>
      </c>
      <c r="B96" t="s" s="69">
        <v>195</v>
      </c>
      <c r="C96" s="12"/>
      <c r="D96" s="70">
        <v>600</v>
      </c>
      <c r="E96" s="70"/>
      <c r="F96" s="70">
        <v>200</v>
      </c>
      <c r="G96" s="71"/>
      <c r="H96" s="25">
        <f>SUM(C96:F96)</f>
        <v>800</v>
      </c>
      <c r="I96" s="8"/>
      <c r="J96" t="s" s="27">
        <v>8</v>
      </c>
      <c r="K96" s="9"/>
    </row>
    <row r="97" ht="18" customHeight="1">
      <c r="A97" t="s" s="72">
        <v>196</v>
      </c>
      <c r="B97" t="s" s="73">
        <v>197</v>
      </c>
      <c r="C97" s="70"/>
      <c r="D97" s="74">
        <v>5200</v>
      </c>
      <c r="E97" s="74">
        <v>50</v>
      </c>
      <c r="F97" s="74">
        <v>24</v>
      </c>
      <c r="G97" s="13"/>
      <c r="H97" s="14">
        <f>SUM(C97:F97)</f>
        <v>5274</v>
      </c>
      <c r="I97" s="75"/>
      <c r="J97" t="s" s="16">
        <v>8</v>
      </c>
      <c r="K97" s="9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